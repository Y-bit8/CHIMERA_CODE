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Sheet1" sheetId="1" r:id="rId1"/>
  </sheets>
  <definedNames>
    <definedName name="_xlnm._FilterDatabase" localSheetId="0" hidden="1">Sheet1!$T$1:$U$887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<sst xmlns="http://schemas.openxmlformats.org/spreadsheetml/2006/main" count="8884" uniqueCount="1419">
  <si>
    <t>ligand</t>
  </si>
  <si>
    <t>product</t>
  </si>
  <si>
    <t>R1</t>
  </si>
  <si>
    <t>R2</t>
  </si>
  <si>
    <t>金属</t>
  </si>
  <si>
    <t>Tem</t>
  </si>
  <si>
    <t>metal</t>
  </si>
  <si>
    <t>solvent</t>
  </si>
  <si>
    <t>additive</t>
  </si>
  <si>
    <t>gm</t>
  </si>
  <si>
    <t>elsi</t>
  </si>
  <si>
    <t>Time</t>
  </si>
  <si>
    <t>溶剂</t>
  </si>
  <si>
    <t>添加剂/碱</t>
  </si>
  <si>
    <t>光敏剂</t>
  </si>
  <si>
    <t>其余信息</t>
  </si>
  <si>
    <t>ref</t>
  </si>
  <si>
    <t>yield</t>
  </si>
  <si>
    <t>ee</t>
  </si>
  <si>
    <t>ddG</t>
  </si>
  <si>
    <t>d2</t>
  </si>
  <si>
    <t>d3</t>
  </si>
  <si>
    <t>d4</t>
  </si>
  <si>
    <t>tem</t>
  </si>
  <si>
    <t>FC(F)(F)C1=CC=C(P(C2=CC=CC=C2)C2=CC=CC=C2)C(C2=N[C@H]3C4=C(C=CC=C4)C[C@H]3O2)=C1</t>
  </si>
  <si>
    <t>CCOC(=O)C1=CC=C([C@@H]2CCCO2)C=C1</t>
  </si>
  <si>
    <t>[H]C1CCCO1</t>
  </si>
  <si>
    <t>CCOC(=O)C1=CC=C(Br)C=C1</t>
  </si>
  <si>
    <t>NiCl2·DME</t>
  </si>
  <si>
    <t>THF</t>
  </si>
  <si>
    <t>Na2CO3</t>
  </si>
  <si>
    <t>COC1=CC=C(C(=O)C2=CC=C(C(F)(F)F)C=C2)C=C1</t>
  </si>
  <si>
    <t>390nm 10W</t>
  </si>
  <si>
    <t>J.Am, Chem, SoC.2023, 145,9, 5231-5241</t>
  </si>
  <si>
    <t>COC1=CC=C(C(=O)C2=CC=C(C#N)C=C2)C=C1</t>
  </si>
  <si>
    <t>FC(F)(F)C1=CC=C(P(C2=CC=CC=C2)C3=CC=CC=C3)C(C4=NC(CO4)C(C)(C)C)=C1</t>
  </si>
  <si>
    <t>COC1=CC=C(C=C1)C(C2=CC=C(C=C2)[N+]([O-])=O)=O</t>
  </si>
  <si>
    <t>FC(F)(F)C1=CC=C(P(C2=CC=CC=C2)C3=CC=CC=C3)C(C4=NC(CO4)C5=CC=CC=C5)=C1</t>
  </si>
  <si>
    <t>CCC(C1COC(C2=NC(C(C)CC)CO2)=N1)C</t>
  </si>
  <si>
    <t>CC([C@@H]1COC(C2=CC=CC=N2)=N1)C</t>
  </si>
  <si>
    <t>CC(C)(C)C(C=C1)=CC=C1N2CC(C(C)CC)N=C2C3=NC(C(C)CC)CN3C(C=C4)=CC=C4C(C)(C)C</t>
  </si>
  <si>
    <t>Ni(COD)2</t>
  </si>
  <si>
    <t>NiBr2·DME</t>
  </si>
  <si>
    <t>THF+EtOAc</t>
  </si>
  <si>
    <t>O=C1OC/C2=C/C([C@@H]3CCCO3)=C/C=C\12</t>
  </si>
  <si>
    <t>BrC1=CC2=C(C(OC2)=O)C=C1</t>
  </si>
  <si>
    <t>CC(=O)C1=CC=C([C@@H]2CCCO2)C=C1</t>
  </si>
  <si>
    <t>CC(C1=CC=C(Br)C=C1)=O</t>
  </si>
  <si>
    <t>O=CC1=CC=C([C@@H]2CCCO2)C=C1</t>
  </si>
  <si>
    <t>BrC1=CC=C(C=O)C=C1</t>
  </si>
  <si>
    <t>N#CC1=CC=C([C@@H]2CCCO2)C=C1</t>
  </si>
  <si>
    <t>BrC1=CC=C(C#N)C=C1</t>
  </si>
  <si>
    <t>CS(=O)(=O)C1=CC=C([C@@H]2CCCO2)C=C1</t>
  </si>
  <si>
    <t>BrC1=CC=C(S(=O)(C)=O)C=C1</t>
  </si>
  <si>
    <t>FC(F)(F)C1=CC=C([C@@H]2CCCO2)C=C1</t>
  </si>
  <si>
    <t>BrC1=CC=C(C(F)(F)F)C=C1</t>
  </si>
  <si>
    <t>FC1=CC=C([C@@H]2CCCO2)C=C1</t>
  </si>
  <si>
    <t>BrC1=CC=C(F)C=C1</t>
  </si>
  <si>
    <t>ClC1=CC=C([C@@H]2CCCO2)C=C1</t>
  </si>
  <si>
    <t>BrC1=CC=C(Cl)C=C1</t>
  </si>
  <si>
    <t>CS(=O)(=O)C1=CC=C([C@@H]2CCCO2)C=C1Cl</t>
  </si>
  <si>
    <t>BrC1=CC(Cl)=C(S(=O)(C)=O)C=C1</t>
  </si>
  <si>
    <t>FC1=CC=C([C@@H]2CCCO2)C=C1Cl</t>
  </si>
  <si>
    <t>BrC1=CC(Cl)=C(F)C=C1</t>
  </si>
  <si>
    <t>C1=CC=C([C@@H]2CCCO2)C=C1</t>
  </si>
  <si>
    <t>BrC1=CC=CC=C1</t>
  </si>
  <si>
    <t>C1=CC=C(C2=CC=C([C@@H]3CCCO3)C=C2)C=C1</t>
  </si>
  <si>
    <t>BrC1=CC=C(C2=CC=CC=C2)C=C1</t>
  </si>
  <si>
    <t>C1=CC([C@@H]2CCCO2)=CN=C1</t>
  </si>
  <si>
    <t>BrC1=CC=CN=C1</t>
  </si>
  <si>
    <t>FC(F)(F)C1=NC=C([C@@H]2CCCO2)C=C1</t>
  </si>
  <si>
    <t>BrC1=CC=C(C(F)(F)F)N=C1</t>
  </si>
  <si>
    <t>C1=CC2=C\C([C@@H]3CCCO3)=C/C=C\2N=C1</t>
  </si>
  <si>
    <t>BrC1=CC2=C(N=CC=C2)C=C1</t>
  </si>
  <si>
    <t>C1=CC2=C(C=C1)C1=C\C([C@@H]3CCCO3)=C/C=C\1S2</t>
  </si>
  <si>
    <t>BrC1=CC2=C(SC3=C2C=CC=C3)C=C1</t>
  </si>
  <si>
    <t>390nm 24W</t>
  </si>
  <si>
    <t>COC(=O)[C@@H](CC1=CC=CC=C1)NC(=O)C1=CC=C([C@@H]2CCCO2)C=C1</t>
  </si>
  <si>
    <t>COC([C@H](NC(C1=CC=C(Br)C=C1)=O)CC2=CC=CC=C2)=O</t>
  </si>
  <si>
    <t>CC([C@H]1CC[C@H](C[C@H]1OC(C2=CC=C(C=C2)[C@@H]3CCCO3)=O)C)C</t>
  </si>
  <si>
    <t>CC(C1CC[C@H](C[C@H]1OC(C2=CC=C(Br)C=C2)=O)C)C</t>
  </si>
  <si>
    <t>CC1O[C@H]2O[C@H](C3COC(C)(C)O3)[C@H](OC(=O)C3=CC=C([C@@H]4CCCO4)C=C3)[C@H]2O1</t>
  </si>
  <si>
    <t>CC1O[C@H]2O[C@@H]([C@@H]([C@H]2O1)OC(C3=CC=C(Br)C=C3)=O)C4COC(C)(O4)C</t>
  </si>
  <si>
    <t>CN(C(=O)C1=CC=C([C@@H]2CCCO2)C=C1)[C@H]1CC[C@@H](C2=CC(Cl)=C(Cl)C=C2)C2=CC=CC=C21</t>
  </si>
  <si>
    <t>CN([C@H]1CC[C@H](C2=CC=CC=C21)C3=CC(Cl)=C(C=C3)Cl)C(C4=CC=C(Br)C=C4)=O</t>
  </si>
  <si>
    <t>[H][C@@]1(C(=O)OCC2=CC=C([C@@H]3CCCO3)C=C2)N2C(=O)C[C@@]2([H])S(=O)(=O)C1(C)C</t>
  </si>
  <si>
    <t>[H][C@]1(N2C(C[C@]2(S(=O)(C1(C)C)=O)[H])=O)C(OCC3=CC=C(Br)C=C3)=O</t>
  </si>
  <si>
    <t>[H][C@@]12CC=C3C[C@@H](OC(=O)C4=CC=C([C@@H]5CCCO5)C=C4)CC[C@]3(C)[C@@]1([H])CC[C@]1(C)[C@@H]([C@H](C)CCCC(C)C)CC[C@@]21[H]</t>
  </si>
  <si>
    <t>[H][C@@]12CC=C3C[C@H](CC[C@@]3([C@]1(CC[C@@]4([C@H](CC[C@@]24[H])[C@@H](CCCC(C)C)C)C)[H])C)OC(C5=CC=C(Br)C=C5)=O</t>
  </si>
  <si>
    <t>[H][C@]12CC[C@]3(C)C(=O)CC[C@@]3([H])[C@]1([H])CCC1=C2C=CC(OC(=O)C2=CC=C([C@@H]3CCCO3)C=C2)=C1</t>
  </si>
  <si>
    <t>[H][C@]12CC[C@@]3(C(CC[C@]3([C@@]1(CCC4=C2C=CC(OC(C5=CC=C(Br)C=C5)=O)=C4)[H])[H])=O)C</t>
  </si>
  <si>
    <t>C1=CC=C2C/C([C@@H]3CCCO3)=C\C2=C1</t>
  </si>
  <si>
    <t>BrC1=CC2=CC=CC=C2C1</t>
  </si>
  <si>
    <t>O=C1C=C([C@@H]2CCCO2)CCC1</t>
  </si>
  <si>
    <t>O=C1C=C(Br)CCC1</t>
  </si>
  <si>
    <t>CC(C)(C)OC(=O)N1CC=C([C@@H]2CCCO2)CC1</t>
  </si>
  <si>
    <t>CC(C)(OC(N1CC=C(Br)CC1)=O)C</t>
  </si>
  <si>
    <t>O=C1CCCC([C@@H]2CCCO2)C1</t>
  </si>
  <si>
    <t>O=C1CCCC(C1)Br</t>
  </si>
  <si>
    <t>[2H][C@]1(C([2H])([2H])C([2H])(C([2H])(O1)[2H])[2H])C2=CC=C(C=C2)C(C)=O</t>
  </si>
  <si>
    <t>[2H][C@]1(C([2H])([2H])C([2H])(C([2H])(O1)[2H])[2H])[2H]</t>
  </si>
  <si>
    <t>CC(C1=CC=C(C=C1)Br)=O</t>
  </si>
  <si>
    <t>CC(=O)C1=CC=C([C@@H]2CC[C@@H](C)O2)C=C1</t>
  </si>
  <si>
    <t>[H]C1CCC(O1)C</t>
  </si>
  <si>
    <t>COC(=O)[C@@H]1CC[C@@H](C2=CC=C(C(C)=O)C=C2)O1</t>
  </si>
  <si>
    <t>[H]C1CCC(O1)C(OC)=O</t>
  </si>
  <si>
    <t>CC(=O)C1=CC=C([C@@H]2CC(=O)CO2)C=C1</t>
  </si>
  <si>
    <t>[H]C1CC(CO1)=O</t>
  </si>
  <si>
    <t>CC(=O)C1=CC=C([C@@H]2CCC(=O)O2)C=C1</t>
  </si>
  <si>
    <t>[H]C1CCC(O1)=O</t>
  </si>
  <si>
    <t>CC(=O)C1=CC=C([C@H]2CCO2)C=C1</t>
  </si>
  <si>
    <t>[H][C@H]1CCO1</t>
  </si>
  <si>
    <t>CC(=O)C1=CC=C([C@@H]2CCCCO2)C=C1</t>
  </si>
  <si>
    <t>[H][C@H]1OCCCC1</t>
  </si>
  <si>
    <t>[H]C1C=CCO1</t>
  </si>
  <si>
    <t>CC(=O)C1=CC=C([C@H]2OC[C@@H]3OC(C)(C)O[C@@H]32)C=C1</t>
  </si>
  <si>
    <t>[H]C1OC[C@@H]2OC(C)(O[C@H]12)C</t>
  </si>
  <si>
    <t>FC(C=C1)=CC=C1[C@H]2COC(C3=N[C@@H](C4=CC=C(F)C=C4)CO3)=N2</t>
  </si>
  <si>
    <t>COC(=O)C1=CC=CN1[C@H](C)C1=CN=C(Cl)N=C1</t>
  </si>
  <si>
    <t>O=C(C1=CC=CN1C([B-](F)(F)F)C)OC</t>
  </si>
  <si>
    <t>ClC1=NC=C(C=N1)Br</t>
  </si>
  <si>
    <t>2-MeTHF</t>
  </si>
  <si>
    <t>K2HPO4</t>
  </si>
  <si>
    <t>Ir[dF(CF3)ppy]2(bpy)PF6</t>
  </si>
  <si>
    <t>470nm</t>
  </si>
  <si>
    <t>J Am Chem Soc2022 9 144(44)20190-20195</t>
  </si>
  <si>
    <t>CCCC(CCC)[C@@H](CO1)N=C1C2=N[C@@H](C(CCC)CCC)CO2</t>
  </si>
  <si>
    <t>[C@H]1(CC2=CC=CC=C2)COC(C3=N[C@@H](CC4=CC=CC=C4)CO3)=N1</t>
  </si>
  <si>
    <t>CC([C@H]1COC(C2=N[C@@H](C(C)C)CO2)=N1)C</t>
  </si>
  <si>
    <t>[C@@H]1(COC(C2=N[C@H](CO2)C3CCCCC3)=N1)C4CCCCC4</t>
  </si>
  <si>
    <t>CC([C@H]1COC(C2=N[C@@H](C(C)(C)C)CO2)=N1)(C)C</t>
  </si>
  <si>
    <t>[C@H]1(C2=CC=CC=C2)COC(C3=N[C@@H](C4=CC=CC=C4)CO3)=N1</t>
  </si>
  <si>
    <t>COC1=CC=C([C@H]2COC(C3=N[C@H](CO3)C4=CC=C(C=C4)OC)=N2)C=C1</t>
  </si>
  <si>
    <t>CC(C(C=C1)=CC=C1[C@@H](CO2)N=C2C3=N[C@@H](C4=CC=C(C(C)(C)C)C=C4)CO3)(C)C</t>
  </si>
  <si>
    <t>C1(C2=N[C@@H]3[C@@H](CC4=C3C=CC=C4)O2)=N[C@@H](C(C=CC=C5)=C5C6)[C@@H]6O1</t>
  </si>
  <si>
    <t>CC([C@@H]1N=C(C2=N[C@@H](C(C)C)CN2C3=CC=C(OC)C=C3)N(C4=CC=C(OC)C=C4)C1)C</t>
  </si>
  <si>
    <t>CC([C@@H]1N=C(C2=N[C@@H](C(C)C)CN2C3=C(OC)C=CC=C3)N(C4=CC=CC=C4OC)C1)C</t>
  </si>
  <si>
    <t>CC([C@@H]1N=C(C2=N[C@@H](C(C)C)CN2C3=CC(C(C)(C)C)=CC=C3)N(C4=CC=CC(C(C)(C)C)=C4)C1)C</t>
  </si>
  <si>
    <t>CC(C1=CC(N2C(C3=N[C@@H](C(CCC)CCC)CN3C4=CC(C(C)(C)C)=CC=C4)=N[C@@H](C(CCC)CCC)C2)=CC=C1)(C)C</t>
  </si>
  <si>
    <t>CC([C@@H]1N=C(C2=N[C@@H](C(C)C)CN2CC3)N3C1)C</t>
  </si>
  <si>
    <t>CC1(C)CN2C(C3=N[C@@H](C(C)C)CN3C1)=N[C@@H](C(C)C)C2</t>
  </si>
  <si>
    <t>CC([C@@H](CO1)N=C1C2=NC=CC=C2)(C)C</t>
  </si>
  <si>
    <t>CC([C@H](CO1)N=C1C2=NC=CC=C2)(C)C</t>
  </si>
  <si>
    <t>C1(C2=NC=CC=C2)=N[C@@H](CC3=CC=CC=C3)CO1</t>
  </si>
  <si>
    <t>C1(C2=NC=CC=C2)=N[C@@H](C(C=CC=C3)=C3C4)[C@@H]4O1</t>
  </si>
  <si>
    <t>[H]C1=CC(C2=N[C@@H](C(C=CC=C3)=C3C4)[C@@H]4O2)=NC=C1</t>
  </si>
  <si>
    <t>COC1=CC(C2=N[C@@H](C(C=CC=C3)=C3C4)[C@@H]4O2)=NC=C1</t>
  </si>
  <si>
    <t>CC([C@@H]1N=C(C2=C(NC3=C(C4=N[C@@H](C(C)(C)C)CO4)C=CC=C3)C=CC=C2)OC1)(C)C</t>
  </si>
  <si>
    <t>[C@@H]1(C2=CC=CC=C2)N=C(C3=C(NC4=C(C5=N[C@@H](C6=CC=CC=C6)CO5)C=CC=C47)C7=CC=C3)OC1</t>
  </si>
  <si>
    <t>CC([C@@H]1N=C(C2=C(NC3=C(C4=N[C@@H](C(C)C)CO4)C=CC=C35)C5=CC=C2)OC1)C</t>
  </si>
  <si>
    <t>CC([C@@H]1N=C(C2=C(NC3=C(C4=N[C@@H](C(C)(C)C)CO4)C=CC=C35)C5=CC=C2)OC1)(C)C</t>
  </si>
  <si>
    <t>CC(O1)(C)[C@H](C(C)C)N=C1C(C=CC=C2)=C2P(C3=CC=CC=C3)C4=CC=CC=C4</t>
  </si>
  <si>
    <t>C1(CC2=N[C@@H](C3=CC=CC=C3)CO2)=N[C@@H](C4=CC=CC=C4)CO1</t>
  </si>
  <si>
    <t>CC([C@@H](CO1)N=C1CC2=N[C@@H](C(C)C)CO2)C</t>
  </si>
  <si>
    <t>CC([C@@H](CO1)N=C1CC2=N[C@@H](C(C)(C)C)CO2)(C)C</t>
  </si>
  <si>
    <t>[H]C(C1=N[C@@H](C(C=CC=C2)=C2C3)[C@@H]3O1)([H])C4=N[C@@H]5[C@@H](CC6=C5C=CC=C6)O4</t>
  </si>
  <si>
    <t>CC(C1=N[C@H](C2=CC=CC=C2)CO1)(C)C3=N[C@@H](C4=CC=CC=C4)CO3</t>
  </si>
  <si>
    <t>CC(C1=N[C@H](CC2=CC=CC=C2)CO1)(C)C3=N[C@@H](CC4=CC=CC=C4)CO3</t>
  </si>
  <si>
    <t>CC(C1=N[C@@H](C2=CC=CC=C2)[C@@H](C3=CC=CC=C3)O1)(C)C4=N[C@@H](C5=CC=CC=C5)[C@@H](C6=CC=CC=C6)O4</t>
  </si>
  <si>
    <t>[H]C(C1=N[C@@H](C2=CC=CC=C2)[C@@H](C3=CC=CC=C3)O1)(C#N)C4=N[C@@H](C5=CC=CC=C5)[C@@H](C6=CC=CC=C6)O4</t>
  </si>
  <si>
    <t>C[C@@H](N1C=CC=C1C(OC)=O)C2=CN=C(Cl)N=C2</t>
  </si>
  <si>
    <t>450nm</t>
  </si>
  <si>
    <t>C[C@@H](N1C=CC=C1C(OC)=O)C2=CN=C(C#N)N=C2</t>
  </si>
  <si>
    <t>BrC(C=N1)=CN=C1C#N</t>
  </si>
  <si>
    <t>C[C@@H](N1C=CC=C1C(OC)=O)C2=CN=C(SC)N=C2</t>
  </si>
  <si>
    <t>BrC(C=N1)=CN=C1SC</t>
  </si>
  <si>
    <t>C[C@@H](N1C=CC=C1C(OC)=O)C2=CN=C(OC)N=C2</t>
  </si>
  <si>
    <t>BrC(C=N1)=CN=C1OC</t>
  </si>
  <si>
    <t>C[C@@H](N1C=CC=C1C(OC)=O)C2=CN=C(C(F)(F)F)N=C2</t>
  </si>
  <si>
    <t>BrC(C=N1)=CN=C1C(F)(F)F</t>
  </si>
  <si>
    <t>C[C@@H](N1C=CC=C1C(OC)=O)C2=CC=C(C#N)N=C2</t>
  </si>
  <si>
    <t>BrC(C=C1)=CN=C1C#N</t>
  </si>
  <si>
    <t>C[C@@H](N1C=CC=C1C(OC)=O)C2=CC(C#N)=C(Cl)N=C2</t>
  </si>
  <si>
    <t>ClC1=NC=C(C=C1C#N)Br</t>
  </si>
  <si>
    <t>C[C@@H](N1C=CC=C1C(OC)=O)C2=CC(C(F)(F)F)=CN=C2</t>
  </si>
  <si>
    <t>BrC1=CN=CC(C(F)(F)F)=C1</t>
  </si>
  <si>
    <t>C[C@@H](N1C=CC=C1C(OC)=O)C2=CC(C#N)=NC=C2</t>
  </si>
  <si>
    <t>BrC1=CC=NC(C#N)=C1</t>
  </si>
  <si>
    <t>C[C@@H](N1C=CC=C1C(OC)=O)C2=CC(Cl)=NC=C2</t>
  </si>
  <si>
    <t>BrC1=CC=NC(Cl)=C1</t>
  </si>
  <si>
    <t>C[C@@H](N1C=CC=C1C(OC)=O)C2=CC(C)=NC=C2</t>
  </si>
  <si>
    <t>BrC1=CC=NC(C)=C1</t>
  </si>
  <si>
    <t>C[C@@H](N1C=CC=C1C(OC)=O)C2=CC=C(C(F)(F)F)C=C2</t>
  </si>
  <si>
    <t>C[C@@H](N1C=CC=C1C(OC)=O)C2=CC(C#N)=CC(F)=C2</t>
  </si>
  <si>
    <t>BrC1=CC(F)=CC(C#N)=C1</t>
  </si>
  <si>
    <t>C[C@@H](N1C=CC=C1C(OC)=O)C2=CC(F)=C(C(F)(F)F)C=C2</t>
  </si>
  <si>
    <t>BrC1=CC(F)=C(C(F)(F)F)C(F)=C1</t>
  </si>
  <si>
    <t>C[C@@H](N1C=CC=C1C(OC)=O)C2=CC3=C(C(CCC3(F)F)=O)C=C2</t>
  </si>
  <si>
    <t>BrC1=CC=C(C(CCC2(F)F)=O)C2=C1</t>
  </si>
  <si>
    <t>C[C@@H](N1C=CC=C1C(OC)=O)C2=CC=CC=C2</t>
  </si>
  <si>
    <t>C[C@H](/C=C/CCOC(C1=CC=CC=C1)=O)N2C=CC=C2C(O)=O</t>
  </si>
  <si>
    <t>Br/C=C/CCOC(C1=CC=CC=C1)=O</t>
  </si>
  <si>
    <t>C[C@@H](N1C=C(F)C=C1C(OC)=O)C2=CN=C(Cl)N=C2</t>
  </si>
  <si>
    <t>O=C(OC)C1=CC(F)=CN1C(C)[B-](F)(F)F</t>
  </si>
  <si>
    <t>C[C@@H](N1C=C(Cl)C=C1C(OC)=O)C2=CN=C(Cl)N=C2</t>
  </si>
  <si>
    <t>O=C(OC)C1=CC(Cl)=CN1C(C)[B-](F)(F)F</t>
  </si>
  <si>
    <t>iPrOAc</t>
  </si>
  <si>
    <t>C[C@@H](N1C=C(C2CC2)C=C1C(OC)=O)C3=CN=C(Cl)N=C3</t>
  </si>
  <si>
    <t>O=C(OC)C1=CC(C2CC2)=CN1C(C)[B-](F)(F)F</t>
  </si>
  <si>
    <t>O=C(OC)C1=CC=CN1[C@@H](C2=CN=C(Cl)N=C2)CC</t>
  </si>
  <si>
    <t>O=C(OC)C1=CC=CN1C([B-](F)(F)F)CC</t>
  </si>
  <si>
    <t>O=C(OC)C1=CC=CN1[C@@H](C2=CN=C(Cl)N=C2)CCC(C)C</t>
  </si>
  <si>
    <t>O=C(OC)C1=CC=CN1C([B-](F)(F)F)CCC(C)C</t>
  </si>
  <si>
    <t>C[C@@H](N1C=CC(C(OC)=O)=C1)C2=CN=C(Cl)N=C2</t>
  </si>
  <si>
    <t>CC(N1C=CC(C(OC)=O)=C1)[B-](F)(F)F</t>
  </si>
  <si>
    <t>C[C@@H](N1C2=C(C=C(C(OC)=O)C=N2)C=C1)C3=CN=C(Cl)N=C3</t>
  </si>
  <si>
    <t>CC(N1C2=C(C=C(C(OC)=O)C=N2)C=C1)[B-](F)(F)F</t>
  </si>
  <si>
    <t>CPME</t>
  </si>
  <si>
    <t>C[C@H](C1=CN=C(N=C1)Cl)N2C=C(C=C2)NC(OC(C)(C)C)=O</t>
  </si>
  <si>
    <t>CC(N1C=C(NC(OC(C)(C)C)=O)C=C1)[B-](F)(F)F</t>
  </si>
  <si>
    <t>C[C@@H](N1C=C(C(OC(C)(C)C)=O)C=N1)C2=CN=C(Cl)N=C2</t>
  </si>
  <si>
    <t>CC(N1C=C(C(C(C)(C)C)=O)C=N1)[B-](F)(F)F</t>
  </si>
  <si>
    <t>C[C@@H](N1C(C2=C(C=CC=C2)C1=O)=O)C3=CN=C(Cl)N=C3</t>
  </si>
  <si>
    <t>CC(N(C(C1=C2C=CC=C1)=O)C2=O)[B-](F)(F)F</t>
  </si>
  <si>
    <t>DME</t>
  </si>
  <si>
    <t>CC(C)(C1=N[C@H](C2=CC=CC=C2)CO1)C3=N[C@@H](C4=CC=CC=C4)CO3</t>
  </si>
  <si>
    <t>[H][C@]1(C(=O)CC2=CC=CC=C2)CCCC[C@@]1([H])C(=O)O</t>
  </si>
  <si>
    <t>[H][C@]12CCCC[C@]1(C(OC2=O)=O)[H]</t>
  </si>
  <si>
    <t>F[B-](F)(F)CC1=CC=CC=C1</t>
  </si>
  <si>
    <t>dioxane</t>
  </si>
  <si>
    <t>BnBF3K</t>
  </si>
  <si>
    <t>4CzIPN</t>
  </si>
  <si>
    <t>34W Blue LEDS</t>
  </si>
  <si>
    <t>Angew Chem Int Ed Engl 2017 2056(13)13679-3683</t>
  </si>
  <si>
    <t>CC(C)(C1=N[C@H](C(C)(C)C)CO1)C2=N[C@@H](C(C)(C)C)CO2</t>
  </si>
  <si>
    <t>CC(C1=N[C@H](CO1)CC2=CC=CC=C2)(C3=N[C@@H](CO3)CC4=CC=CC=C4)C</t>
  </si>
  <si>
    <t>CC1=CC=CC(C2=N[C@H](CO2)C(C)(C)C)=N1</t>
  </si>
  <si>
    <t>NiCl2</t>
  </si>
  <si>
    <t>Ir(dFCF3ppy)2dtbbpy]PF6</t>
  </si>
  <si>
    <t>[H][C@]1(C(=O)CC2=CC=CC=C2)CCC[C@@]1([H])C(=O)O</t>
  </si>
  <si>
    <t>[H][C@]12[C@](C(OC1=O)=O)(CCC2)[H]</t>
  </si>
  <si>
    <t>[H][C@]1(C(=O)O)CC[C@@]1([H])C(=O)CC1=CC=CC=C1</t>
  </si>
  <si>
    <t>[H][C@]12[C@](C(OC1=O)=O)(CC2)[H]</t>
  </si>
  <si>
    <t>[H][C@]1(C(=O)O)C[C@@]1([H])C(=O)CC1=CC=CC=C1</t>
  </si>
  <si>
    <t>[H][C@]12[C@](C(OC1=O)=O)(C2)[H]</t>
  </si>
  <si>
    <t>[H][C@@]1([C@H](CC[C@H]([C@]1(C(CC2=CC=CC=C2)=O)[H])C)C)C(O)=O</t>
  </si>
  <si>
    <t>[H][C@]12[C@](C(OC1=O)=O)([C@H](C)CC[C@@H]2C)[H]</t>
  </si>
  <si>
    <t>C[C@@H]([C@@H](C(O)=O)C)C(CC1=CC=CC=C1)=O</t>
  </si>
  <si>
    <t>[H][C@]1(C)[C@](C(OC1=O)=O)(C)[H]</t>
  </si>
  <si>
    <t>[H][C@]1(C(=O)CC2=CC=CC=C2)CC=CC[C@@]1([H])C(=O)O</t>
  </si>
  <si>
    <t>[H][C@]12[C@](C(OC1=O)=O)(CC=CC2)[H]</t>
  </si>
  <si>
    <t>[H][C@]1(C(=O)CC2=CC=CC=C2)CC(C)=C(C)C[C@@]1([H])C(=O)O</t>
  </si>
  <si>
    <t>[H][C@]12[C@](C(OC1=O)=O)(CC(C)=C(C)C2)[H]</t>
  </si>
  <si>
    <t>O=C([C@@]1([C@@]([H])(CCCC1)C(O)=O)[H])CC2=CC=C(C(OC)=C)C=C2</t>
  </si>
  <si>
    <t>[H][C@]12[C@](C(OC1=O)=O)(CCCC2)[H]</t>
  </si>
  <si>
    <t>F[B-](F)(CC1=CC=C(C(OC)=O)C=C1)F</t>
  </si>
  <si>
    <t>O=C(CC1=CC=C(C=C1)OC(F)(F)F)[C@]2([H])[C@@](CCCC2)(C(O)=O)[H]</t>
  </si>
  <si>
    <t>F[B-](F)(CC1=CC=C(OC(F)(F)F)C=C1)F</t>
  </si>
  <si>
    <t>O=C(CC1=CC=C(C=C1)F)[C@]2([H])[C@@](CCCC2)(C(O)=O)[H]</t>
  </si>
  <si>
    <t>F[B-](F)(CC1=CC=C(F)C=C1)F</t>
  </si>
  <si>
    <t>O=C(CC1=CC=C(C=C1)Cl)[C@]2([H])[C@@](CCCC2)(C(O)=O)[H]</t>
  </si>
  <si>
    <t>F[B-](F)(CC1=CC=C(Cl)C=C1)F</t>
  </si>
  <si>
    <t>O=C(CC1=CC=C(C=C1)C)[C@]2([H])[C@@](CCCC2)(C(O)=O)[H]</t>
  </si>
  <si>
    <t>F[B-](F)(CC1=CC=C(C)C=C1)F</t>
  </si>
  <si>
    <t>O=C(CC1=CC=C(C=C1)C2=CC=CC=C2)[C@]3([H])[C@@](CCCC3)(C(O)=O)[H]</t>
  </si>
  <si>
    <t>F[B-](F)(CC1=CC=C(C2=CC=CC=C2)C=C1)F</t>
  </si>
  <si>
    <t>O=C([C@@]1([C@@]([H])(CCCC1)C(O)=O)[H])CC2=CC=CC(OC)=C2</t>
  </si>
  <si>
    <t>F[B-](F)(CC1=CC(OC)=CC=C1)F</t>
  </si>
  <si>
    <t>O=C([C@@]1([C@@]([H])(CCCC1)C(O)=O)[H])CC2=CC=CC(C)=C2</t>
  </si>
  <si>
    <t>F[B-](F)(CC1=CC(C)=CC=C1)F</t>
  </si>
  <si>
    <t>O=C([C@@]1([C@@]([H])(CCCC1)C(O)=O)[H])CC2=CC=C(F)C=C2F</t>
  </si>
  <si>
    <t>F[B-](F)(CC1=C(F)C=C(F)C=C1)F</t>
  </si>
  <si>
    <t>O=C([C@@]1([C@@]([H])(CCCC1)C(O)=O)[H])CC2=CC=CC=C2C</t>
  </si>
  <si>
    <t>F[B-](F)(CC1=C(C)C=CC=C1)F</t>
  </si>
  <si>
    <t>O=C([C@@]1([C@@]([H])(CCCC1)C(O)=O)[H])CC2=CC=C(OCO3)C3=C2</t>
  </si>
  <si>
    <t>F[B-](F)(CC1=CC2=C(OCO2)C=C1)F</t>
  </si>
  <si>
    <t>O=C([C@@]1([C@@]([H])(CCCC1)C(O)=O)[H])CC2=CC=C(OC)C=C2</t>
  </si>
  <si>
    <t>F[B-](F)(CC1=CC=C(OC)C=C1)F</t>
  </si>
  <si>
    <t>Et2O+THF</t>
  </si>
  <si>
    <t>[H][C@]12CCCC[C@@]1([H])C(OC2=O)=O</t>
  </si>
  <si>
    <t>F[B-](F)(CC1=CC=CC=C1)F</t>
  </si>
  <si>
    <t>Et2O</t>
  </si>
  <si>
    <t>PhCH3</t>
  </si>
  <si>
    <t>THF+PhCF3</t>
  </si>
  <si>
    <t>BnBF3K+2,6-lutidine</t>
  </si>
  <si>
    <t>BnBF3K+Li3PO4</t>
  </si>
  <si>
    <t>BnBF3K+Li2CO3</t>
  </si>
  <si>
    <t>CC(C1=N[C@@H](CC2=CC=CC=C2)CO1)(C)C3=N[C@@H](CC4=CC=CC=C4)CO3</t>
  </si>
  <si>
    <t>CC(C1=N[C@@H](C2=CC=CC=C2)CO1)(C)C3=N[C@@H](C4=CC=CC=C4)CO3</t>
  </si>
  <si>
    <t>CC([C@@H]1N=C(C2=NC=CC=C2)OC1)(C)C</t>
  </si>
  <si>
    <t>CC([C@@H]1N=C(C2=NC=CC3=C2C=CC=C3)OC1)(C)C</t>
  </si>
  <si>
    <t>C1(C2=N[C@@H](CC3=CC=CC=C3)CO2)=NC=CC=C1</t>
  </si>
  <si>
    <t>C1(C2=N[C@@H](C3=CC=CC=C3)CO2)=NC=CC=C1</t>
  </si>
  <si>
    <t>CC1=CC=CN=C1C2=N[C@H](CO2)C(C)(C)C</t>
  </si>
  <si>
    <t>CC1=CC(C2=N[C@@H](C(C)(C)C)CO2)=NC=C1</t>
  </si>
  <si>
    <t>CC1=CC=CC(C2=N[C@@H](C(C)(C)C)CO2)=N1</t>
  </si>
  <si>
    <t>FC1=CC=CC(C2=N[C@@H](C(C)(C)C)CO2)=N1</t>
  </si>
  <si>
    <t>ClC1=CC(C2=N[C@@H](C(C)(C)C)CO2)=NC=C1</t>
  </si>
  <si>
    <t>FC1=CC=CN=C1C2=N[C@@H](C(C)(C)C)CO2</t>
  </si>
  <si>
    <t>CC[C@@H]([C@H]1CN(C(C2=N[C@@H](CN2C3=CC(C(C)(C)C)=CC=C3)[C@H](CC)C)=N1)C4=CC=CC(C(C)(C)C)=C4)C</t>
  </si>
  <si>
    <t>CCCC[C@@H](NC(C1=CC=CC=C1)=O)C2=CC=CC=C2</t>
  </si>
  <si>
    <t>O=C(ON1C(C(C=CC=C2)=C2C1=O)=O)C(NC(C3=CC=CC=C3)=O)CCCC</t>
  </si>
  <si>
    <t>NiBr2·glyme</t>
  </si>
  <si>
    <t>MeOAc</t>
  </si>
  <si>
    <t>Na2CO3+OC(C)C1=CC=CC=C1</t>
  </si>
  <si>
    <t>40W 427nm Blue LED</t>
  </si>
  <si>
    <t>An gew Chem Int Ed Engl 2023 1;62(31)e202305889</t>
  </si>
  <si>
    <t>Na2CO3+OC(C)C1=CC=CC=C1+PhBr</t>
  </si>
  <si>
    <t>Na2CO3+OC(C)C1=CC=CC=C1+H2O</t>
  </si>
  <si>
    <t>NiCl2·glyme</t>
  </si>
  <si>
    <t>Na2CO3+OC(C)C1=CC=CC=C1+NaBr</t>
  </si>
  <si>
    <t>Ni(acac)2</t>
  </si>
  <si>
    <t>Na2CO3+CC(C)O</t>
  </si>
  <si>
    <t>Na2CO3+OC(C)C1=CC=C(C(F)(F)F)C=C1</t>
  </si>
  <si>
    <t>Na2CO3+OC(C)COC1=CC=C(CC#N)C=C1</t>
  </si>
  <si>
    <t>CCCC[C@H](C1=CC=C(OC)C=C1)NC(C2=CC=CC=C2)=O</t>
  </si>
  <si>
    <t>BrC1=CC=C(OC)C=C1</t>
  </si>
  <si>
    <t>CCCC[C@H](C1=CC=C(OC2=CC=CC=C2)C=C1)NC(C3=CC=CC=C3)=O</t>
  </si>
  <si>
    <t>BrC1=CC=C(OC2=CC=CC=C2)C=C1</t>
  </si>
  <si>
    <t>CCCC[C@@H](NC(C1=CC=CC=C1)=O)C2=CC=C(C=C2)NC(OC(C)(C)C)=O</t>
  </si>
  <si>
    <t>BrC1=CC=C(NC(OC(C)(C)C)=O)C=C1</t>
  </si>
  <si>
    <t>CCCC[C@@H](NC(C1=CC=CC=C1)=O)C2=CC=C(C=C2)[Si](C)(C)C</t>
  </si>
  <si>
    <t>BrC1=CC=C([Si](C)(C)C)C=C1</t>
  </si>
  <si>
    <t>CCCC[C@H](C1=CC=C(C(F)(F)F)C=C1)NC(C2=CC=CC=C2)=O</t>
  </si>
  <si>
    <t>CCCC[C@@H](NC(C1=CC=CC=C1)=O)C2=CC=C(C=C2)C(OC)=O</t>
  </si>
  <si>
    <t>BrC1=CC=C(C(OC)=O)C=C1</t>
  </si>
  <si>
    <t>CCCC[C@H](C1=CC=C(C#N)C=C1)NC(C2=CC=CC=C2)=O</t>
  </si>
  <si>
    <t>CCCC[C@H](C1=CC(C)=CC(C)=C1)NC(C2=CC=CC=C2)=O</t>
  </si>
  <si>
    <t>BrC1=CC(C)=CC(C)=C1</t>
  </si>
  <si>
    <t>CCCC[C@H](C1=CC(Br)=CC=C1)NC(C2=CC=CC=C2)=O</t>
  </si>
  <si>
    <t>BrC1=CC=CC(Br)=C1</t>
  </si>
  <si>
    <t>CCCC[C@H](C1=CC=C(Cl)C=C1)NC(C2=CC=CC=C2)=O</t>
  </si>
  <si>
    <t>CCCC[C@H](C1=CC=C(C(C)=O)C=C1)NC(C2=CC=CC=C2)=O</t>
  </si>
  <si>
    <t>BrC1=CC=C(C(C)=O)C=C1</t>
  </si>
  <si>
    <t>CCCC[C@H](C1=CC=C(C([H])=O)C=C1)NC(C2=CC=CC=C2)=O</t>
  </si>
  <si>
    <t>BrC1=CC=C(C([H])=O)C=C1</t>
  </si>
  <si>
    <t>CCCC[C@H](C1=CC(OC(C)=O)=CC=C1)NC(C2=CC=CC=C2)=O</t>
  </si>
  <si>
    <t>BrC1=CC=CC(OC(C)=O)=C1</t>
  </si>
  <si>
    <t>CCCC[C@H](C1=CC(C(CC2)=O)=C2C=C1)NC(C3=CC=CC=C3)=O</t>
  </si>
  <si>
    <t>BrC1=CC=C2C(C(CC2)=O)=C1</t>
  </si>
  <si>
    <t>CCCC[C@H](C1=CC(C(OC)=O)=CC=C1)NC(C2=CC=CC=C2)=O</t>
  </si>
  <si>
    <t>BrC1=CC=CC(C(OC)=O)=C1</t>
  </si>
  <si>
    <t>CCCC[C@H](C1=CC(CCO)=CC=C1)NC(C2=CC=CC=C2)=O</t>
  </si>
  <si>
    <t>BrC1=CC=CC(CCO)=C1</t>
  </si>
  <si>
    <t>CCCC[C@H](C1=CN=CC(C(C)=O)=C1)NC(C2=CC=CC=C2)=O</t>
  </si>
  <si>
    <t>BrC1=CC(C(C)=O)=CN=C1</t>
  </si>
  <si>
    <t>CCCC[C@H](C1=CN=C(C(F)(F)F)C=C1)NC(C2=CC=CC=C2)=O</t>
  </si>
  <si>
    <t>CCCC[C@H](C1=CN=C(OC)C=C1)NC(C2=CC=CC=C2)=O</t>
  </si>
  <si>
    <t>BrC1=CC=C(OC)N=C1</t>
  </si>
  <si>
    <t>CCCC[C@H](C1=CN=C(C=CC=C2)C2=C1)NC(C3=CC=CC=C3)=O</t>
  </si>
  <si>
    <t>BrC1=CC2=C(C=CC=C2)N=C1</t>
  </si>
  <si>
    <t>CCCC[C@H](C1=CC(C=NC(C)=C2)=C2C=C1)NC(C3=CC=CC=C3)=O</t>
  </si>
  <si>
    <t>BrC1=CC=C2C(C=NC(C)=C2)=C1</t>
  </si>
  <si>
    <t>CCCC[C@@H](NC(C1=CC=CC=C1)=O)C2=CN=C(N=C2)N3CCN(C(OC(C)(C)C)=O)CC3</t>
  </si>
  <si>
    <t>BrC1=CN=C(N2CCN(CC2)C(OC(C)(C)C)=O)N=C1</t>
  </si>
  <si>
    <t>CCCC[C@H](C1=CC(C=CO2)=C2C=C1)NC(C3=CC=CC=C3)=O</t>
  </si>
  <si>
    <t>BrC1=CC=C2C(C=CO2)=C1</t>
  </si>
  <si>
    <t>CCCC[C@H](C1=CC(SC=C2)=C2C=C1)NC(C3=CC=CC=C3)=O</t>
  </si>
  <si>
    <t>BrC1=CC=C2C(SC=C2)=C1</t>
  </si>
  <si>
    <t>CCCC[C@H](C1=CC(N=CS2)=C2C=C1)NC(C3=CC=CC=C3)=O</t>
  </si>
  <si>
    <t>BrC1=CC=C2C(N=CS2)=C1</t>
  </si>
  <si>
    <t>CCCC[C@H](C1=CC=C(N(S(=O)(C2=CC=CC=C2)=O)C=C3)C3=C1)NC(C4=CC=CC=C4)=O</t>
  </si>
  <si>
    <t>BrC1=CC2=C(N(S(=O)(C3=CC=CC=C3)=O)C=C2)C=C1</t>
  </si>
  <si>
    <t>C[C@H](C1=CC=C(Cl)C=C1)NC(C2=CC=CC=C2)=O</t>
  </si>
  <si>
    <t>O=C(C(NC(C1=CC=CC=C1)=O)C)ON2C(C3=C(C2=O)C=CC=C3)=O</t>
  </si>
  <si>
    <t>ClC1=CC=C(C=C1)[C@@H](CCC)NC(C2=CC=CC=C2)=O</t>
  </si>
  <si>
    <t>O=C(C(NC(C1=CC=CC=C1)=O)CCC)ON2C(C3=C(C2=O)C=CC=C3)=O</t>
  </si>
  <si>
    <t>ClC1=CC=C(C=C1)[C@@H](CC(C)C)NC(C2=CC=CC=C2)=O</t>
  </si>
  <si>
    <t>O=C(C(NC(C1=CC=CC=C1)=O)CC(C)C)ON2C(C3=C(C2=O)C=CC=C3)=O</t>
  </si>
  <si>
    <t>ClC1=CC=C(C=C1)[C@@H](CC2CCCCC2)NC(C3=CC=CC=C3)=O</t>
  </si>
  <si>
    <t>O=C(C(NC(C1=CC=CC=C1)=O)CC2CCCCC2)ON3C(C4=C(C3=O)C=CC=C4)=O</t>
  </si>
  <si>
    <t>ClC1=CC=C([C@H](NC(C2=CC=CC=C2)=O)C(C)C)C=C1</t>
  </si>
  <si>
    <t>O=C(C(NC(C1=CC=CC=C1)=O)C(C)C)ON2C(C3=C(C2=O)C=CC=C3)=O</t>
  </si>
  <si>
    <t>ClC1=CC=C(C=C1)[C@@H](CC2=CC=CC=C2)NC(C3=CC=CC=C3)=O</t>
  </si>
  <si>
    <t>O=C(C(NC(C1=CC=CC=C1)=O)CC2=CC=CC=C2)ON3C(C4=C(C3=O)C=CC=C4)=O</t>
  </si>
  <si>
    <t>ClC1=CC=C(C=C1)[C@@H](CCC2=CC=CC=C2)NC(C3=CC=CC=C3)=O</t>
  </si>
  <si>
    <t>O=C(C(NC(C1=CC=CC=C1)=O)CCC2=CC=CC=C2)ON3C(C4=C(C3=O)C=CC=C4)=O</t>
  </si>
  <si>
    <t>ClC1=CC=C(C=C1)[C@@H]([C@@H](C)CC)NC(C2=CC=CC=C2)=O</t>
  </si>
  <si>
    <t>O=C(C(NC(C1=CC=CC=C1)=O)[C@@H](C)CC)ON2C(C3=C(C2=O)C=CC=C3)=O</t>
  </si>
  <si>
    <t>ClC1=CC=C(C=C1)[C@@H](CC=C)NC(C2=CC=CC=C2)=O</t>
  </si>
  <si>
    <t>O=C(C(NC(C1=CC=CC=C1)=O)CC=C)ON2C(C3=C(C2=O)C=CC=C3)=O</t>
  </si>
  <si>
    <t>ClC1=CC=C(C=C1)[C@@H](CCC(OC)=O)NC(C2=CC=CC=C2)=O</t>
  </si>
  <si>
    <t>O=C(C(NC(C1=CC=CC=C1)=O)CCC(OC)=O)ON2C(C3=C(C2=O)C=CC=C3)=O</t>
  </si>
  <si>
    <t>ClC1=CC=C(C=C1)[C@@H](CCCCNC(OC(C)(C)C)=O)NC(C2=CC=CC=C2)=O</t>
  </si>
  <si>
    <t>O=C(C(NC(C1=CC=CC=C1)=O)CCCCNC(OC(C)(C)C)=O)ON2C(C3=C(C2=O)C=CC=C3)=O</t>
  </si>
  <si>
    <t>ClC1=CC=C(C=C1)[C@@H](CCSC)NC(C2=CC=CC=C2)=O</t>
  </si>
  <si>
    <t>O=C(C(NC(C1=CC=CC=C1)=O)CCSC)ON2C(C3=C(C2=O)C=CC=C3)=O</t>
  </si>
  <si>
    <t>CC(C)[C@@H](CO1)N=C1C2=N[C@@H](C(C)C)CO2</t>
  </si>
  <si>
    <t>O=C(N[C@@H](C1=CC=CC=C1)CCCC)C2=CC=CC=C2</t>
  </si>
  <si>
    <t>EA</t>
  </si>
  <si>
    <t>CN[C@H](C1=CC=CC=C1)[C@@H](C2=CC=CC=C2)NC</t>
  </si>
  <si>
    <t>CC(C)[C@H]1CN(C2=CC=CC=C2)C(C3=N[C@@H](C(C)C)CN3C4=CC=CC=C4)=N1</t>
  </si>
  <si>
    <t>CC(C)[C@H]1CN(C2=CC=CC(C(C)(C)C)=C2)C(C3=N[C@@H](C(C)C)CN3C4=CC(C(C)(C)C)=CC=C4)=N1</t>
  </si>
  <si>
    <t>CC(C1=CC(N2C(C3=N[C@@H](C4CCCCC4)CN3C5=CC(C(C)(C)C)=CC=C5)=N[C@@H](C6CCCCC6)C2)=CC=C1)(C)C</t>
  </si>
  <si>
    <t>CC(C)C[C@H]1CN(C2=CC=CC(C(C)(C)C)=C2)C(C3=N[C@@H](CC(C)C)CN3C4=CC(C(C)(C)C)=CC=C4)=N1</t>
  </si>
  <si>
    <t>C[C@@H](CC)[C@H]1CN(C2=CC=CC(C(C)(C)C)=C2)C(C3=N[C@@H]([C@H](CC)C)CN3C4=CC(C(C)(C)C)=CC=C4)=N1</t>
  </si>
  <si>
    <t>K3PO4+OC(C)C1=CC=CC=C1</t>
  </si>
  <si>
    <t>K2HPO4+OC(C)C1=CC=CC=C1</t>
  </si>
  <si>
    <t>Na3PO4+OC(C)C1=CC=CC=C1</t>
  </si>
  <si>
    <t>Na2HPO4+OC(C)C1=CC=CC=C1</t>
  </si>
  <si>
    <t>K2CO3+OC(C)C1=CC=CC=C1</t>
  </si>
  <si>
    <t>KHCO3+OC(C)C1=CC=CC=C1</t>
  </si>
  <si>
    <t>NaHCO3+OC(C)C1=CC=CC=C1</t>
  </si>
  <si>
    <t>2,6-lutidune+OC(C)C1=CC=CC=C1</t>
  </si>
  <si>
    <t>EtOAc</t>
  </si>
  <si>
    <t>MTBE</t>
  </si>
  <si>
    <t>DMA</t>
  </si>
  <si>
    <t>MeOAc+DMA</t>
  </si>
  <si>
    <t>CC[C@H]([C@H]1CN(C(C2=N[C@H](CN2C3=CC(C(C)(C)C)=CC=C3)[C@@H](CC)C)=N1)C4=CC=CC(C(C)(C)C)=C4)C</t>
  </si>
  <si>
    <t>O=P(OCC)(OCC)[C@@H](C1=CC=C(C=C1)C(F)(F)F)CCC2=CC=CC=C2</t>
  </si>
  <si>
    <t>O=P(OCC)(OCC)C(CCC1=CC=CC=C1)Br</t>
  </si>
  <si>
    <t>FC(F)(C1=CC=C(C=C1)I)F</t>
  </si>
  <si>
    <t>dioxane+DMA</t>
  </si>
  <si>
    <t>Cs2CO3+HEH</t>
  </si>
  <si>
    <t>30W  450nm blue LED</t>
  </si>
  <si>
    <t>J Am Chem Soc2022 9;144(9)3989-3997</t>
  </si>
  <si>
    <t>CC([C@@H]1CN(C(C2=N[C@H](CN2C3=CC(C(C)(C)C)=CC=C3)C(C)C)=N1)C4=CC=CC(C(C)(C)C)=C4)C</t>
  </si>
  <si>
    <t>C[C@H]1CN(C(C2=N[C@H](C)CN2C3=CC=CC=C3)=N1)C4=CC=CC=C4</t>
  </si>
  <si>
    <t>CCCC(CCC)[C@H]1COC(C2=N[C@@H](C(CCC)CCC)CO2)=N1</t>
  </si>
  <si>
    <t>Ni(cod)2</t>
  </si>
  <si>
    <t>Ru(bpy)3Cl2 6H2O</t>
  </si>
  <si>
    <t>Et3N+HEH</t>
  </si>
  <si>
    <t>Na2CO3+HEH</t>
  </si>
  <si>
    <t>CCCC(CCC)[C@H]1CN(C2=CC=CC(C(C)(C)C)=C2)C(C3=N[C@@H](C(CCC)CCC)CN3C4=CC(C(C)(C)C)=CC=C4)=N1</t>
  </si>
  <si>
    <t>CN[C@H](C1=CC=CC=C1)[C@H](NC)C2=CC=CC=C2</t>
  </si>
  <si>
    <t>CC(C)[C@H]1COC(C2=N[C@@H](C(C)C)CO2)=N1</t>
  </si>
  <si>
    <t>DME+DMA</t>
  </si>
  <si>
    <t>K2CO3+HEH</t>
  </si>
  <si>
    <t>Nil2</t>
  </si>
  <si>
    <t>FC(F)(C1=CC=C([C@H](P(OC)(OC)=O)CCC2=CC=CC=C2)C=C1)F</t>
  </si>
  <si>
    <t>O=P(C(Br)CCC1=CC=CC=C1)(OC)OC</t>
  </si>
  <si>
    <t>FC(F)(C1=CC=C([C@H](P(OC(C)C)(OC(C)C)=O)CCC2=CC=CC=C2)C=C1)F</t>
  </si>
  <si>
    <t>O=P(OC(C)C)(C(Br)CCC1=CC=CC=C1)OC(C)C</t>
  </si>
  <si>
    <t>FC(F)(C1=CC=C([C@H](P(OC(C)(C)C)(OC(C)(C)C)=O)CCC2=CC=CC=C2)C=C1)F</t>
  </si>
  <si>
    <t>O=P(OCC(C)C)(C(Br)CCC1=CC=CC=C1)OCC(C)C</t>
  </si>
  <si>
    <t>C=P([C@@H](C1=CC=CC=C1)CCC2=CC=CC=C2)(OCC)OCC</t>
  </si>
  <si>
    <t>O=P(C(Br)CCC1=CC=CC=C1)(OCC)OCC</t>
  </si>
  <si>
    <t>IC1=CC=CC=C1</t>
  </si>
  <si>
    <t>C=P([C@@H](C1=CC=C(F)C=C1)CCC2=CC=CC=C2)(OCC)OCC</t>
  </si>
  <si>
    <t>IC1=CC=C(F)C=C1</t>
  </si>
  <si>
    <t>C=P([C@@H](C1=CC=C(Cl)C=C1)CCC2=CC=CC=C2)(OCC)OCC</t>
  </si>
  <si>
    <t>IC1=CC=C(Cl)C=C1</t>
  </si>
  <si>
    <t>C=P([C@@H](C1=CC=C(C#N)C=C1)CCC2=CC=CC=C2)(OCC)OCC</t>
  </si>
  <si>
    <t>IC1=CC=C(C#N)C=C1</t>
  </si>
  <si>
    <t>C=P([C@@H](C1=CC=C(OC(F)(F)F)C=C1)CCC2=CC=CC=C2)(OCC)OCC</t>
  </si>
  <si>
    <t>IC1=CC=C(OC(F)(F)F)C=C1</t>
  </si>
  <si>
    <t>C=P([C@@H](C1=CC=C(C=O)C=C1)CCC2=CC=CC=C2)(OC(C)C)OC(C)C</t>
  </si>
  <si>
    <t>O=P(C(Br)CCC1=CC=CC=C1)(OC(C)C)OC(C)C</t>
  </si>
  <si>
    <t>IC1=CC=C(C=O)C=C1</t>
  </si>
  <si>
    <t>C=P([C@@H](C1=CC=C(C(C)=O)C=C1)CCC2=CC=CC=C2)(OCC)OCC</t>
  </si>
  <si>
    <t>IC1=CC=C(C(C)=O)C=C1</t>
  </si>
  <si>
    <t>C=P([C@@H](C1=CC=C(C(OC)=O)C=C1)CCC2=CC=CC=C2)(OCC)OCC</t>
  </si>
  <si>
    <t>IC1=CC=C(C(OC)=O)C=C1</t>
  </si>
  <si>
    <t>C=P([C@@H](C1=CC=C(C#C[Si](C)(C)C)C=C1)CCC2=CC=CC=C2)(OCC)OCC</t>
  </si>
  <si>
    <t>IC1=CC=C(C#C[Si](C)(C)C)C=C1</t>
  </si>
  <si>
    <t>C=P([C@@H](C1=CC=C(C)C=C1)CCC2=CC=CC=C2)(OC(C)C)OC(C)C</t>
  </si>
  <si>
    <t>IC1=CC=C(C)C=C1</t>
  </si>
  <si>
    <t>C=P([C@@H](C1=CC=C(C(C)(C)C)C=C1)CCC2=CC=CC=C2)(OC(C)C)OC(C)C</t>
  </si>
  <si>
    <t>IC1=CC=C(C(C)(C)C)C=C1</t>
  </si>
  <si>
    <t>C=P([C@@H](C1=CC(OC)=CC=C1)CCC2=CC=CC=C2)(OC(C)C)OC(C)C</t>
  </si>
  <si>
    <t>IC1=CC(OC)=CC=C1</t>
  </si>
  <si>
    <t>C=P([C@@H](C1=CC(C(OC)=O)=CC=C1)CCC2=CC=CC=C2)(OCC)OCC</t>
  </si>
  <si>
    <t>IC1=CC(C(OC)=O)=CC=C1</t>
  </si>
  <si>
    <t>C=P([C@@H](C1=CC(C#N)=CC=C1)CCC2=CC=CC=C2)(OCC)OCC</t>
  </si>
  <si>
    <t>IC1=CC(C#N)=CC=C1</t>
  </si>
  <si>
    <t>C=P([C@@H](C1=CC=CC(OS(C2=CC=C(C)C=C2)(=O)=O)=C1)CCC3=CC=CC=C3)(OCC)OCC</t>
  </si>
  <si>
    <t>IC1=CC=CC(OS(C2=CC=C(C)C=C2)(=O)=O)=C1</t>
  </si>
  <si>
    <t>C=P([C@@H](C1=CC=C(F)C(C)=C1)CCC2=CC=CC=C2)(OC(C)C)OC(C)C</t>
  </si>
  <si>
    <t>IC1=CC=C(F)C(C)=C1</t>
  </si>
  <si>
    <t>C=P([C@@H](C1=CC=C(C#N)C(C(F)(F)F)=C1)CCC2=CC=CC=C2)(OCC)OCC</t>
  </si>
  <si>
    <t>IC1=CC=C(C#N)C(C(F)(F)F)=C1</t>
  </si>
  <si>
    <t>C=P([C@@H](C1=CC(C(F)(F)F)=CC(C(F)(F)F)=C1)CCC2=CC=CC=C2)(OCC)OCC</t>
  </si>
  <si>
    <t>IC1=CC(C(F)(F)F)=CC(C(F)(F)F)=C1</t>
  </si>
  <si>
    <t>C=P([C@@H](C1=CC(OCO2)=C2C=C1)CCC3=CC=CC=C3)(OCC)OCC</t>
  </si>
  <si>
    <t>IC1=CC(OCO2)=C2C=C1</t>
  </si>
  <si>
    <t>C=P([C@@H](C1=CC=C(C=CC=C2)C2=C1)CCC3=CC=CC=C3)(OC(C)C)OC(C)C</t>
  </si>
  <si>
    <t>IC1=CC=C(C=CC=C2)C2=C1</t>
  </si>
  <si>
    <t>C=P([C@@H](C1=CC=C2C(C=CN2S(C3=CC=C(C)C=C3)(=O)=O)=C1)CCC4=CC=CC=C4)(OC(C)C)OC(C)C</t>
  </si>
  <si>
    <t>IC1=CC=C2C(C=CN2S(C3=CC=C(C)C=C3)(=O)=O)=C1</t>
  </si>
  <si>
    <t>C=P([C@@H](C1=CSC=C1)CCC2=CC=CC=C2)(OC(C)C)OC(C)C</t>
  </si>
  <si>
    <t>IC1=CSC=C1</t>
  </si>
  <si>
    <t>CC([C@H]1CC[C@@H](C[C@@H]1OC(C2=CC([C@H](CCC3=CC=CC=C3)P(OCC)(OCC)=O)=CC=C2)=O)C)C</t>
  </si>
  <si>
    <t>CC([C@H]1CC[C@@H](C[C@@H]1OC(C2=CC(I)=CC=C2)=O)C)C</t>
  </si>
  <si>
    <t>CCOP(OCC)([C@@H](C1=CC=C(C(OC(CC2=C(N(C3=C2C=C(C=C3)OC)C(C4=CC=C(C=C4)Cl)=O)C)=O)=C1)C(OC)=O)CCC5=CC=CC=C5)=O</t>
  </si>
  <si>
    <t>O=C(OC)C1=CC=C(I)C=C1OC(CC2=C(N(C3=C2C=C(C=C3)OC)C(C4=CC=C(C=C4)Cl)=O)C)=O</t>
  </si>
  <si>
    <t>C[C@@H](P(OC(C)C)(OC(C)C)=O)C1=CC=C(C=C1)C(F)(F)F</t>
  </si>
  <si>
    <t>O=P(C(Br)C)(OC(C)C)OC(C)C</t>
  </si>
  <si>
    <t>IC1=CC=C(C(F)(F)F)C=C1</t>
  </si>
  <si>
    <t>FC(F)(F)C1=CC=C([C@H](P(OC(C)C)(OC(C)C)=O)CCCC)C=C1</t>
  </si>
  <si>
    <t>O=P(C(Br)CCCC)(OC(C)C)OC(C)C</t>
  </si>
  <si>
    <t>FC(F)(F)C1=CC=C([C@H](P(OC(C)C)(OC(C)C)=O)C(C)C)C=C1</t>
  </si>
  <si>
    <t>O=P(C(Br)C(C)C)(OC(C)C)OC(C)C</t>
  </si>
  <si>
    <t>FC(F)(F)C1=CC=C([C@H](P(OC(C)C)(OC(C)C)=O)C2CCCC2)C=C1</t>
  </si>
  <si>
    <t>O=P(C(Br)C1CCCC1)(OC(C)C)OC(C)C</t>
  </si>
  <si>
    <t>FC(F)(F)C1=CC=C([C@H](P(OC(C)C)(OC(C)C)=O)C2CCCCC2)C=C1</t>
  </si>
  <si>
    <t>O=P(C(Br)C1CCCCC1)(OC(C)C)OC(C)C</t>
  </si>
  <si>
    <t>FC(F)(F)C1=CC=C([C@H](P(OC(C)C)(OC(C)C)=O)CCCCCCl)C=C1</t>
  </si>
  <si>
    <t>O=P(C(Br)CCCCCCl)(OC(C)C)OC(C)C</t>
  </si>
  <si>
    <t>FC(F)(F)C1=CC=C([C@H](P(OC(C)C)(OC(C)C)=O)CCSC)C=C1</t>
  </si>
  <si>
    <t>O=P(C(Br)CCSC)(OC(C)C)OC(C)C</t>
  </si>
  <si>
    <t>FC(F)(F)C1=CC=C([C@H](P(OC(C)C)(OC(C)C)=O)CCCO)C=C1</t>
  </si>
  <si>
    <t>O=P(C(Br)CCCO)(OC(C)C)OC(C)C</t>
  </si>
  <si>
    <t>FC(F)(F)C1=CC=C([C@H](P(OC(C)C)(OC(C)C)=O)CCCOS(C2=CC=C(C)C=C2)(=O)=O)C=C1</t>
  </si>
  <si>
    <t>O=P(C(Br)CCCOS(C1=CC=C(C)C=C1)(=O)=O)(OC(C)C)OC(C)C</t>
  </si>
  <si>
    <t>FC(F)(F)C1=CC=C([C@H](P(OC(C)C)(OC(C)C)=O)CCCOC(C2=CC=CC=C2)=O)C=C1</t>
  </si>
  <si>
    <t>O=P(C(Br)CCCOC(C1=CC=CC=C1)=O)(OC(C)C)OC(C)C</t>
  </si>
  <si>
    <t>FC(F)(F)C1=CC=C([C@H](P(OC(C)C)(OC(C)C)=O)CCCOC(C2=C(C)N=CS2)=O)C=C1</t>
  </si>
  <si>
    <t>O=P(C(Br)CCCOC(C1=C(C)N=CS1)=O)(OC(C)C)OC(C)C</t>
  </si>
  <si>
    <t>FC(F)(F)C1=CC=C([C@H](P(OC(C)C)(OC(C)C)=O)CCN2C(C(C=CC=C3)=C3C2=O)=O)C=C1</t>
  </si>
  <si>
    <t>O=P(C(Br)CCN1C(C(C=CC=C2)=C2C1=O)=O)(OC(C)C)OC(C)C</t>
  </si>
  <si>
    <t>CCC[C@H](C1=CC=C(C=C1)C(F)(F)F)P(C2=CC=CC=C2)(C3=CC=CC=C3)=O</t>
  </si>
  <si>
    <t>CCCC(P(C1=CC=CC=C1)(C2=CC=CC=C2)=O)Br</t>
  </si>
  <si>
    <t>FC(F)(F)C1=CC=C(I)C=C1</t>
  </si>
  <si>
    <t>C[C@H](C1=CC(C(F)(F)F)=CC(C(F)(F)F)=C1)P(C2=CC=CC=C2)(C3=CC=CC=C3)=O</t>
  </si>
  <si>
    <t>CC(P(C1=CC=CC=C1)(C2=CC=CC=C2)=O)Br</t>
  </si>
  <si>
    <t>C[C@H](C1=CC=C(C(F)(F)F)C=C1)P(C2=CC=C(C)C=C2)(C3=CC=C(C)C=C3)=O</t>
  </si>
  <si>
    <t>BrC(P(C1=CC=C(C=C1)C)(C2=CC=C(C=C2)C)=O)C</t>
  </si>
  <si>
    <t>C[C@H](C1=CC=C(OC(F)(F)F)C=C1)P(C2=CC=C(C)C=C2)(C3=CC=C(C)C=C3)=O</t>
  </si>
  <si>
    <t>C[C@@H](C1=CC=CC=C1)/C=C/C2=CC(C=CC=C3)=C3C=C2</t>
  </si>
  <si>
    <t>CCC1=CC=CC=C1</t>
  </si>
  <si>
    <t>Br/C=C/C1=CC2=C(C=C1)C=CC=C2</t>
  </si>
  <si>
    <t>Ir(dFCF3ppy)2dtbbpy]Cl</t>
  </si>
  <si>
    <t>8W Blue LEDS</t>
  </si>
  <si>
    <t>ACS Catal.2021,11,17,11059-11065</t>
  </si>
  <si>
    <t>CCC([C@@H]1N=C(C2=N[C@@H](C(C)CC)CN2C3=CC(C(C)(C)C)=CC=C3)N(C4=CC=CC(C(C)(C)C)=C4)C1)C</t>
  </si>
  <si>
    <t>CCC([C@@H]1N=C(C2=N[C@@H](C(C)CC)CN2C3=CC(C(C)(C)C)=CC(C(C)(C)C)=C3)N(C4=CC(C(C)(C)C)=CC(C(C)(C)C)=C4)C1)C</t>
  </si>
  <si>
    <t>CCC([C@@H]1N=C(C2=N[C@@H](C(C)CC)CO2)OC1)C</t>
  </si>
  <si>
    <t>Ir(ppy)2dtbbpy]Cl</t>
  </si>
  <si>
    <t>Ir(dFMeppy)2dtbbpy]Cl</t>
  </si>
  <si>
    <t>K2HPO4+A1</t>
  </si>
  <si>
    <t>K2HPO4+A2</t>
  </si>
  <si>
    <t>DMBP</t>
  </si>
  <si>
    <t>C[C@@H](C1=CC=CC=C1)/C=C/C2=CC=CC=C2</t>
  </si>
  <si>
    <t>Br/C=C/C1=CC=CC=C1</t>
  </si>
  <si>
    <t>K2HPO4+COC(C=C1)=CC=C1/C=C/C2=CC=CC=C2</t>
  </si>
  <si>
    <t>COC1=CC=C(C=C1)/C=C/[C@H](C2=CC=CC=C2)C</t>
  </si>
  <si>
    <t>Br/C=C/C1=CC=C(OC)C=C1</t>
  </si>
  <si>
    <t>K2HPO4+C1(/C=C/C2=CC=CC=C2)=CC=CC=C1</t>
  </si>
  <si>
    <t>CC1=CC=C(/C=C/[C@@H](C)C2=CC=CC=C2)C=C1</t>
  </si>
  <si>
    <t>Br/C=C/C1=CC=C(C)C=C1</t>
  </si>
  <si>
    <t>CC(C1=CC=C(C=C1)/C=C/[C@H](C2=CC=CC=C2)C)C</t>
  </si>
  <si>
    <t>Br/C=C/C1=CC=C(C(C)C)C=C1</t>
  </si>
  <si>
    <t>Br/C=C/C1=CC=C(C(C)(C)C)C=C1</t>
  </si>
  <si>
    <t>C[C@@H](C1=CC=CC=C1)/C=C/C(C=C2)=CC=C2C(F)(F)F</t>
  </si>
  <si>
    <t>Br/C=C/C1=CC=C(C(F)(F)F)C=C1</t>
  </si>
  <si>
    <t>FC1=CC=C(C=C1)/C=C/[C@H](C2=CC=CC=C2)C</t>
  </si>
  <si>
    <t>Br/C=C/C1=CC=C(F)C=C1</t>
  </si>
  <si>
    <t>ClC1=CC=C(C=C1)/C=C/[C@H](C2=CC=CC=C2)C</t>
  </si>
  <si>
    <t>Br/C=C/C1=CC=C(Cl)C=C1</t>
  </si>
  <si>
    <t>C[C@@H](C1=CC=CC=C1)/C=C/C2=CC(OC)=CC=C2</t>
  </si>
  <si>
    <t>Br/C=C/C1=CC(OC)=CC=C1</t>
  </si>
  <si>
    <t>C[C@@H](C1=CC=CC=C1)/C=C/C2=CC(C(F)(F)F)=CC=C2</t>
  </si>
  <si>
    <t>Br/C=C/C1=CC(C(F)(F)F)=CC=C1</t>
  </si>
  <si>
    <t>C[C@@H](C1=CC=CC=C1)/C=C/C2=CC(Cl)=CC=C2</t>
  </si>
  <si>
    <t>Br/C=C/C1=CC(Cl)=CC=C1</t>
  </si>
  <si>
    <t>C[C@@H](C1=CC=CC=C1)/C=C/C2=C(OC)C=CC=C2</t>
  </si>
  <si>
    <t>Br/C=C/C1=C(OC)C=CC=C1</t>
  </si>
  <si>
    <t>C[C@@H](C1=CC=CC=C1)/C=C/C2=C(C(F)(F)F)C=CC=C2</t>
  </si>
  <si>
    <t>Br/C=C/C1=C(C(F)(F)F)C=CC=C1</t>
  </si>
  <si>
    <t>C[C@@H](C1=CC=CC=C1)/C=C/C2=C(Cl)C=CC=C2</t>
  </si>
  <si>
    <t>Br/C=C/C1=C(Cl)C=CC=C1</t>
  </si>
  <si>
    <t>C[C@@H](C1=CC=CC=C1)/C=C/C2=CC=C(C3=CC=CC=C3)C=C2</t>
  </si>
  <si>
    <t>Br/C=C/C1=CC=C(C2=CC=CC=C2)C=C1</t>
  </si>
  <si>
    <t>C[C@@H](C1=CC=CC=C1)/C=C/C2=CC=C(OC(F)(F)F)C=C2</t>
  </si>
  <si>
    <t>Br/C=C/C1=CC=C(OC(F)(F)F)C=C1</t>
  </si>
  <si>
    <t>C[C@@H](C1=CC=CC=C1)/C=C/C2=CC=C(SC)C=C2</t>
  </si>
  <si>
    <t>Br/C=C/C1=CC=C(SC)C=C1</t>
  </si>
  <si>
    <t>C[C@@H](C1=CC=CC=C1)/C=C/C2=CC=C(C(OC)=O)C=C2</t>
  </si>
  <si>
    <t>Br/C=C/C1=CC=C(C(OC)=O)C=C1</t>
  </si>
  <si>
    <t>C[C@@H](C1=CC=CC=C1)/C=C/C2=CC=C(C#N)C=C2</t>
  </si>
  <si>
    <t>Br/C=C/C1=CC=C(C#N)C=C1</t>
  </si>
  <si>
    <t>C[C@@H](C1=CC=CC=C1)/C=C/C2=CC=C(S(=O)(C)=O)C=C2</t>
  </si>
  <si>
    <t>Br/C=C/C1=CC=C(C=C1)S(=O)(C)=O</t>
  </si>
  <si>
    <t>C[C@@H](C1=CC=CC=C1)/C=C/C2=CC=C(B3OC(C)(C)C(C)(C)O3)C=C2</t>
  </si>
  <si>
    <t>Br/C=C/C1=CC=C(C=C1)B2OC(C)(C(C)(O2)C)C</t>
  </si>
  <si>
    <t>C[C@@H](C1=CC=CC=C1)/C=C/C2=C(C=CC=C3)C3=CC=C2</t>
  </si>
  <si>
    <t>Br/C=C/C1=C(C=CC=C2)C2=CC=C1</t>
  </si>
  <si>
    <t>C[C@@H](C1=CC=CC=C1)/C=C/C2=CC(C=CC=N3)=C3C=C2</t>
  </si>
  <si>
    <t>Br/C=C/C1=CC(C=CC=N2)=C2C=C1</t>
  </si>
  <si>
    <t>C[C@@H](C1=CC=CC=C1)/C=C/C2=CC=CN=C2</t>
  </si>
  <si>
    <t>Br/C=C/C1=CC=CN=C1</t>
  </si>
  <si>
    <t>C[C@@H](C1=CC=CC=C1)C2=CC3=C(C=CC=C3)C2</t>
  </si>
  <si>
    <t>Br/C=C/C1=CC2=C(C=CC=C2)C1</t>
  </si>
  <si>
    <t>C[C@@H](C1=CC=CC=C1)/C=C/CCC2=CC=CC=C2</t>
  </si>
  <si>
    <t>Br/C=C/CCC1=CC=CC=C1</t>
  </si>
  <si>
    <t>C[C@@H](C1=CC=CC=C1)/C=C/C(C)CCCC(C)(C)O</t>
  </si>
  <si>
    <t>Br/C=C/C(C)CCCC(C)(C)O</t>
  </si>
  <si>
    <t>C[C@@H](C1=CC=C(OC)C=C1)/C=C/C2=CC(C=CC=C3)=C3C=C2</t>
  </si>
  <si>
    <t>CCC1=CC=C(OC)C=C1</t>
  </si>
  <si>
    <t>Br/C=C/C1=CC2=C(C=CC=C2)C=C1</t>
  </si>
  <si>
    <t>C[C@@H](C1=CC(OC)=CC=C1)/C=C/C2=CC(C=CC=C3)=C3C=C2</t>
  </si>
  <si>
    <t>CCC1=CC(OC)=CC=C1</t>
  </si>
  <si>
    <t>C[C@@H](C1=CC=C(C(C)(C)C)C=C1)/C=C/C2=CC(C=CC=C3)=C3C=C2</t>
  </si>
  <si>
    <t>CCC1=CC=C(C(C)(C)C)C=C1</t>
  </si>
  <si>
    <t>C[C@@H](C1=CC=C(F)C=C1)/C=C/C2=CC(C=CC=C3)=C3C=C2</t>
  </si>
  <si>
    <t>CCC1=CC=C(F)C=C1</t>
  </si>
  <si>
    <t>C[C@@H](C1=CC2=C(C=CC=C2)C=C1)/C=C/C3=CC(C=CC=C4)=C4C=C3</t>
  </si>
  <si>
    <t>CCC1=CC2=C(C=CC=C2)C=C1</t>
  </si>
  <si>
    <t>CCC[C@@H](C1=CC=CC=C1)/C=C/C2=CC(C=CC=C3)=C3C=C2</t>
  </si>
  <si>
    <t>CCCC1=CC=CC=C1</t>
  </si>
  <si>
    <t>C1(/C=C/[C@H](C2=CC=CC=C2)CCC3=CC=CC=C3)=CC(C=CC=C4)=C4C=C1</t>
  </si>
  <si>
    <t>C1(CCCC2=CC=CC=C2)=CC=CC=C1</t>
  </si>
  <si>
    <t>C1(/C=C/[C@H]2CCC3=C2C=CC=C3)=CC(C=CC=C4)=C4C=C1</t>
  </si>
  <si>
    <t>C12=C(CCC2)C=CC=C1</t>
  </si>
  <si>
    <t>OCC[C@@H](C1=CC=CC=C1)/C=C/C2=CC(C=CC=C3)=C3C=C2</t>
  </si>
  <si>
    <t>OCCCC1=CC=CC=C1</t>
  </si>
  <si>
    <t>N#CC(C=C1)=CC=C1/C=C/[C@H]2CCOC3=C2C=CC=C3</t>
  </si>
  <si>
    <t>C12=CC=CC=C1OCCC2</t>
  </si>
  <si>
    <t>N#CC(C=C1)=CC=C1/C=C/[C@H]2C=CCC2</t>
  </si>
  <si>
    <t>C1CC=CC1</t>
  </si>
  <si>
    <t>CC([C@@H]1N=C(OC1)C2=N[C@@H](C(C)C)CO2)C</t>
  </si>
  <si>
    <t>C[C@H](C1=CC=C(C(OC)=O)C=C1)C2=CC=CC=C2</t>
  </si>
  <si>
    <t>COC(C1=CC=C(C=C1)Br)=O</t>
  </si>
  <si>
    <t>dioxane+DMBP</t>
  </si>
  <si>
    <t>Nat Commun2019 7;10(1)3549</t>
  </si>
  <si>
    <t>CC(C)[C@@H]1N=C(C2=N[C@H](CN2C(C)C)C(C)C)N(C1)C(C)C</t>
  </si>
  <si>
    <t>CC(C=C1)=CC=C1N2C(C3=N[C@@H](C(C)C)CN3C4=CC=C(C)C=C4)=N[C@@H](C(C)C)C2</t>
  </si>
  <si>
    <t>CC(C=C1)=CC=C1N2C(C3=N[C@@H](C(C)CC)CN3C4=CC=C(C)C=C4)=N[C@@H](C(C)CC)C2</t>
  </si>
  <si>
    <t>CC(C=C1)=CC=C1N2C(C3=N[C@@H](C4CCCCC4)CN3C5=CC=C(C)C=C5)=N[C@@H](C6CCCCC6)C2</t>
  </si>
  <si>
    <t>CC([C@@H]1N=C(N(C2=CC=CC(C(C)C)=C2)C1)C3=N[C@@H](C(C)C)CN3C4=CC(C(C)C)=CC=C4)C</t>
  </si>
  <si>
    <t>CC([C@@H]1N=C(N(C2=CC=CC(C(C)(C)C)=C2)C1)C3=N[C@@H](C(C)C)CN3C4=CC(C(C)(C)C)=CC=C4)C</t>
  </si>
  <si>
    <t>COC1=CC=C(C=C1)[C@H](C2=CC=CC=C2)C</t>
  </si>
  <si>
    <t>BrC(C=C1)=CC=C1OC</t>
  </si>
  <si>
    <t>CC1=CC=C(C=C1)[C@H](C2=CC=CC=C2)C</t>
  </si>
  <si>
    <t>CC1=CC=C(C=C1)Br</t>
  </si>
  <si>
    <t>C[C@@H](C1=CC=CC=C1)C(C=C2)=CC=C2C(C)(C)C</t>
  </si>
  <si>
    <t>BrC(C=C1)=CC=C1C(C)(C)C</t>
  </si>
  <si>
    <t>C[C@@H](C1=CC=CC=C1)C(C=C2)=CC=C2C(F)(F)F</t>
  </si>
  <si>
    <t>BrC(C=C1)=CC=C1C(F)(F)F</t>
  </si>
  <si>
    <t>FC1=CC=C(C=C1)[C@H](C2=CC=CC=C2)C</t>
  </si>
  <si>
    <t>FC1=CC=C(C=C1)Br</t>
  </si>
  <si>
    <t>C[C@@H](C1=CC=CC=C1)C(C=C2)=CC=C2C#N</t>
  </si>
  <si>
    <t>BrC(C=C1)=CC=C1C#N</t>
  </si>
  <si>
    <t>C[C@@H](C1=CC=CC=C1)C2=CC(C)=CC=C2</t>
  </si>
  <si>
    <t>BrC1=CC(C)=CC=C1</t>
  </si>
  <si>
    <t>C[C@@H](C1=CC=CC=C1)C2=CC(C(C)C)=CC=C2</t>
  </si>
  <si>
    <t>BrC1=CC(C(C)C)=CC=C1</t>
  </si>
  <si>
    <t>C[C@@H](C1=CC=CC=C1)C2=CC(OC)=CC=C2</t>
  </si>
  <si>
    <t>BrC1=CC(OC)=CC=C1</t>
  </si>
  <si>
    <t>C[C@@H](C1=CC=CC=C1)C2=CC(C(F)(F)F)=CC=C2</t>
  </si>
  <si>
    <t>BrC1=CC(C(F)(F)F)=CC=C1</t>
  </si>
  <si>
    <t>C[C@@H](C1=CC=CC=C1)C2=CC(C#N)=CC=C2</t>
  </si>
  <si>
    <t>BrC1=CC(C#N)=CC=C1</t>
  </si>
  <si>
    <t>C[C@@H](C1=CC=CC=C1)C2=CC(C(OC)=O)=CC=C2</t>
  </si>
  <si>
    <t>BrC1=CC(C(OC)=O)=CC=C1</t>
  </si>
  <si>
    <t>C[C@@H](C1=CC=CC=C1)C2=CC(SC)=CC=C2</t>
  </si>
  <si>
    <t>BrC1=CC(SC)=CC=C1</t>
  </si>
  <si>
    <t>C[C@@H](C1=CC=CC=C1)C2=CC(C(C)=O)=CC=C2</t>
  </si>
  <si>
    <t>BrC1=CC(C(C)=O)=CC=C1</t>
  </si>
  <si>
    <t>C[C@@H](C1=CC=CC=C1)C2=CC(O)=CC=C2</t>
  </si>
  <si>
    <t>BrC1=CC(O)=CC=C1</t>
  </si>
  <si>
    <t>C[C@@H](C1=CC=CC=C1)C2=CC(NC(OC(C)(C)C)=O)=CC=C2</t>
  </si>
  <si>
    <t>BrC1=CC(NC(OC(C)(C)C)=O)=CC=C1</t>
  </si>
  <si>
    <t>C[C@@H](C1=CC=CC=C1)C2=CC3=C(C=CC=C3)C=C2</t>
  </si>
  <si>
    <t>BrC1=CC2=C(C=CC=C2)C=C1</t>
  </si>
  <si>
    <t>C[C@@H](C1=CC=CC=C1)C2=CC3=C(OC=C3)C=C2</t>
  </si>
  <si>
    <t>BrC1=CC2=C(OC=C2)C=C1</t>
  </si>
  <si>
    <t>C[C@@H](C1=CC=CC=C1)C2=CC3=C(SC=C3)C=C2</t>
  </si>
  <si>
    <t>BrC1=CC2=C(SC=C2)C=C1</t>
  </si>
  <si>
    <t>C[C@@H](C1=CC=CC=C1)C2=CC(C=CN3S(C4=CC=C(C)C=C4)(=O)=O)=C3C=C2</t>
  </si>
  <si>
    <t>BrC1=CC(C=CN2S(C3=CC=C(C)C=C3)(=O)=O)=C2C=C1</t>
  </si>
  <si>
    <t>C[C@@H](C1=CC=CC=C1)C2=CC3=C(OCO3)C=C2</t>
  </si>
  <si>
    <t>BrC1=CC2=C(OCO2)C=C1</t>
  </si>
  <si>
    <t>C[C@@H](C1=CC=CC=C1)C2=CC3=C(N=CC=C3)C=C2</t>
  </si>
  <si>
    <t>C[C@@H](C1=CC=CC=C1)C2=CC(C)=C(C)C=C2</t>
  </si>
  <si>
    <t>BrC1=CC(C)=C(C)C=C1</t>
  </si>
  <si>
    <t>C[C@H](C1=CC=CC(C(OC2[C@@H](C(C)C)CC[C@H](C)C2)=O)=C1)C3=CC=CC=C3</t>
  </si>
  <si>
    <t>BrC1=CC(C(OC2[C@@H](C(C)C)CC[C@H](C)C2)=O)=CC=C1</t>
  </si>
  <si>
    <t>C[C@@H](C1=CC=C(OC)C=C1)C2=CC(OC)=C(OC)C(OC)=C2</t>
  </si>
  <si>
    <t>BrC1=CC(OC)=C(OC)C(OC)=C1</t>
  </si>
  <si>
    <t>C[C@@H](C1=CC=C(OC)C=C1)C2=CC=C(C(OC)=O)C=C2</t>
  </si>
  <si>
    <t>C[C@@H](C1=CC=C(F)C=C1)C2=CC=C(C(OC)=O)C=C2</t>
  </si>
  <si>
    <t>C[C@@H](C1=CC=C(CC(C)C)C=C1)C2=CC=C(C(OC)=O)C=C2</t>
  </si>
  <si>
    <t>CCC1=CC=C(CC(C)C)C=C1</t>
  </si>
  <si>
    <t>C[C@@H](C1=CC(C=CC=C2)=C2C=C1)C3=CC=C(C(OC)=O)C=C3</t>
  </si>
  <si>
    <t>CCC1=CC(C=CC=C2)=C2C=C1</t>
  </si>
  <si>
    <t>CC[C@@H](C1=CC=CC=C1)C2=CC=C(C(OC)=O)C=C2</t>
  </si>
  <si>
    <t>CC[C@@H](C1=CC=CC=C1)C2=CC=C(CC(C)C)C=C2</t>
  </si>
  <si>
    <t>BrC1=CC=C(C=C1)C(C)(C)C</t>
  </si>
  <si>
    <t>COC(C1=CC=C(C=C1)[C@H](C2=CC=CC=C2)CC3=CC=CC=C3)=O</t>
  </si>
  <si>
    <t>C1(CCC2=CC=CC=C2)=CC=CC=C1</t>
  </si>
  <si>
    <t>COC(C1=CC=C(C=C1)[C@H](C2=CC=CC=C2)CCC3=CC=CC=C3)=O</t>
  </si>
  <si>
    <t>COC(C1=CC=C(C=C1)[C@H](C2=CC=CC=C2)CCCC3=CC=CC=C3)=O</t>
  </si>
  <si>
    <t>C1(CCCCC2=CC=CC=C2)=CC=CC=C1</t>
  </si>
  <si>
    <t>COC(C1=CC=C(C=C1)[C@H]2CCCC3=C2C=CC=C3)=O</t>
  </si>
  <si>
    <t>C12=C(CCCC2)C=CC=C1</t>
  </si>
  <si>
    <t>CC1=CC=C(N2C(C3=N[C@@H](C(C)CC)CN3C4=CC=C(C)C=C4)=N[C@H](C2)C(C)CC)C=C1</t>
  </si>
  <si>
    <t>CC1=CC=C(N2C(C3=N[C@@H](C4CCCCC4)CN3C5=CC=C(C)C=C5)=N[C@H](C2)C6CCCCC6)C=C1</t>
  </si>
  <si>
    <t>CC1=CC=C(N2C(C3=N[C@@H](CC)CN3C4=CC=C(C)C=C4)=N[C@H](C2)CC)C=C1</t>
  </si>
  <si>
    <t>CC([C@H]1CN(C2=CC=C(OC)C=C2)C(C(N(C3=CC=C(OC)C=C3)C4)=N[C@H]4C(C)C)=N1)C</t>
  </si>
  <si>
    <t>CC([C@H]1CN(C2=CC=C(C(F)(F)F)C=C2)C(C(N(C3=CC=C(C(F)(F)F)C=C3)C4)=N[C@H]4C(C)C)=N1)C</t>
  </si>
  <si>
    <t>CC1=CC(N2C(C3=N[C@@H](C(C)C)CN3C4=CC(C)=CC=C4)=N[C@H](C2)C(C)C)=CC=C1</t>
  </si>
  <si>
    <t>CC([C@H]1CN(C(C)C)C(C(N(C(C)C)C2)=N[C@H]2C(C)C)=N1)C</t>
  </si>
  <si>
    <t>CC([C@H]1CN(C2CCCCC2)C(C(N(C3CCCCC3)C4)=N[C@H]4C(C)C)=N1)C</t>
  </si>
  <si>
    <t>CC([C@H]1CN2C(C(N(CC2)C3)=N[C@H]3C(C)C)=N1)C</t>
  </si>
  <si>
    <t>CC([C@H]1COC(C(OC2)=N[C@H]2C(C)C)=N1)C</t>
  </si>
  <si>
    <t>CC[C@H]1COC(C(OC2)=N[C@H]2CC)=N1</t>
  </si>
  <si>
    <t>C(OC1)(C2=N[C@@H](CC3=CC=CC=C3)CO2)=N[C@H]1CC4=CC=CC=C4</t>
  </si>
  <si>
    <t>C[C@@H]1N=C(C2=N[C@@H](C)CO2)OC1</t>
  </si>
  <si>
    <t>CC(C[C@H]1COC(C(OC2)=N[C@H]2CC(C)C)=N1)C</t>
  </si>
  <si>
    <t>CCC([C@H]1COC(C(OC2)=N[C@H]2C(C)CC)=N1)C</t>
  </si>
  <si>
    <t>C[Si](OC[C@H]1COC(C(OC2)=N[C@H]2CO[Si](C)(C)C(C)(C)C)=N1)(C)C(C)(C)C</t>
  </si>
  <si>
    <t>C(OC1)(C2=N[C@@H](C3CCCCC3)CO2)=N[C@H]1C4CCCCC4</t>
  </si>
  <si>
    <t>CC([C@H]1COC(C2=CC=CC=N2)=N1)C</t>
  </si>
  <si>
    <t>CC([C@H](N=C1C2=CC=CC=N2)CN1C3=CC=CC=C3)C</t>
  </si>
  <si>
    <t>CC1=NC(C2=N[C@@H](C(C)C)CO2)=CC=C1</t>
  </si>
  <si>
    <t>CC([C@H]1COC(C2=CC=CC=N2)=N1)(C)C</t>
  </si>
  <si>
    <t>C1(C2=N[C@@H](CC3=CC=CC=C3)CO2)=C(C=CC=C4)C4=CC=N1</t>
  </si>
  <si>
    <t>CC([C@@H]1N=C(C2=CC=CC=N2)OC1)(C)C</t>
  </si>
  <si>
    <t>C[C@@H](N1C=CC=C1)C2=CC=C(C=C2)C#N</t>
  </si>
  <si>
    <t>C[C@@H](C(O)=O)N1C=CC=C1</t>
  </si>
  <si>
    <t>DMF</t>
  </si>
  <si>
    <t>Cs2CO3</t>
  </si>
  <si>
    <t>Blue LEDS</t>
  </si>
  <si>
    <t>Org. Lett.2019,21, 22,8957-8961</t>
  </si>
  <si>
    <t>N#C/C(C1=N[C@H](CO1)C2=CC=C(C(C)(C)C)C=C2)=C3N[C@H](CO/3)C4=CC=C(C(C)(C)C)C=C4</t>
  </si>
  <si>
    <t>ACN</t>
  </si>
  <si>
    <t>acetone</t>
  </si>
  <si>
    <t>CC(C)(C)[C@@H]1N=C(OC1)C2=CC=CC(C)=N2</t>
  </si>
  <si>
    <t>CC(C)(C)[C@@H]1N=C(OC1)C2=CC=C(C)C=N2</t>
  </si>
  <si>
    <t>CC(C)(C)[C@@H]1N=C(OC1)C2=C(C)C=CC=N2</t>
  </si>
  <si>
    <t>CsOH`H2O</t>
  </si>
  <si>
    <t>DBU</t>
  </si>
  <si>
    <t>O=C(C)C1=CC=CN1[C@@H](C)C2=CC=C(C#N)C=C2</t>
  </si>
  <si>
    <t>O=C(C1=CC=CN1[C@H](C(O)=O)C)C</t>
  </si>
  <si>
    <t>N#CC1=CC=C([C@H](C)N2C(C(OC)=O)=CC=C2)C=C1</t>
  </si>
  <si>
    <t>O=C(C1=CC=CN1[C@H](C(O)=O)C)OC</t>
  </si>
  <si>
    <t>N#CC1=CC=C([C@H](C)N2C(C(N(C)C)=O)=CC=C2)C=C1</t>
  </si>
  <si>
    <t>O=C(C1=CC=CN1[C@H](C(O)=O)C)N(C)C</t>
  </si>
  <si>
    <t>N#CC1=CC=C([C@H](C)N2C(C3=CC=CC=N3)=CC=C2)C=C1</t>
  </si>
  <si>
    <t>C[C@@H](C(O)=O)N1C=CC=C1C2=CC=CC=N2</t>
  </si>
  <si>
    <t>N#CC1=CC=C([C@H](C)N2C=CC(C(C)=O)=N2)C=C1</t>
  </si>
  <si>
    <t>C[C@@H](C(O)=O)N1N=C(C(C)=O)C=C1</t>
  </si>
  <si>
    <t>N#CC1=CC=C([C@H](C)N2C3=C(C=CC=C3)C=C2)C=C1</t>
  </si>
  <si>
    <t>C[C@@H](C(O)=O)N1C=CC2=C1C=CC=C2</t>
  </si>
  <si>
    <t>N#CC1=CC=C([C@H](C)N2C3=C(C=CC=N3)C=C2)C=C1</t>
  </si>
  <si>
    <t>C[C@@H](C(O)=O)N1C=CC2=C1N=CC=C2</t>
  </si>
  <si>
    <t>N#CC1=CC=C([C@H](C)N2C3=C(N(C)C(N(C)C3=O)=O)N=C2)C=C1</t>
  </si>
  <si>
    <t>C[C@@H](C(O)=O)N1C=CC(N(C)C(N2C)=O)=C1C2=O</t>
  </si>
  <si>
    <t>N#CC1=CC=C([C@H](C)N2C3=C(C=CC=C3)C4=C2C=CC=C4)C=C1</t>
  </si>
  <si>
    <t>C[C@@H](C(O)=O)N1C(C=CC=C2)=C2C3=C1C=CC=C3</t>
  </si>
  <si>
    <t>N#CC1=CC=C([C@H](CCCC)N2C=CC=C2)C=C1</t>
  </si>
  <si>
    <t>O=C([C@H](CCCC)N1C=CC=C1)O</t>
  </si>
  <si>
    <t>N#CC1=CC=C([C@H](CC2=CC=CC=C2)N3C=CC=C3)C=C1</t>
  </si>
  <si>
    <t>O=C([C@H](CC1=CC=CC=C1)N2C=CC=C2)O</t>
  </si>
  <si>
    <t>N#CC1=CC=C([C@H](C(C)C)N2C=CC=C2)C=C1</t>
  </si>
  <si>
    <t>O=C([C@H](C(C)C)N1C=CC=C1)O</t>
  </si>
  <si>
    <t>N#CC1=CC=C([C@H](CCC(OC)=O)N2C=CC=C2)C=C1</t>
  </si>
  <si>
    <t>O=C(OC)CC[C@@H](C(O)=O)N1C=CC=C1</t>
  </si>
  <si>
    <t>N#CC1=CC=C([C@H](CCCC)N2C=CC3=C2N=CC=C3)C=C1</t>
  </si>
  <si>
    <t>CCCC[C@@H](C(O)=O)N1C2=C(C=CC=N2)C=C1</t>
  </si>
  <si>
    <t>C[C@@H](C1=CC=C(C(C)=O)C=C1)N2C=CC=C2</t>
  </si>
  <si>
    <t>C[C@@H](C1=CC=C(C([H])=O)C=C1)N2C=CC=C2</t>
  </si>
  <si>
    <t>C[C@@H](C1=CC=C(C2=NC3=C(C=CC=C3)S2)C=C1)N4C=CC=C4</t>
  </si>
  <si>
    <t>BrC1=CC=C(C2=NC3=C(C=CC=C3)S2)C=C1</t>
  </si>
  <si>
    <t>C[C@@H](C1=CC=C(C2=NN=CO2)C=C1)N3C=CC=C3</t>
  </si>
  <si>
    <t>BrC1=CC=C(C2=NN=CO2)C=C1</t>
  </si>
  <si>
    <t>C[C@@H](C1=CC=CC=C1C#N)N2C=CC=C2</t>
  </si>
  <si>
    <t>BrC1=C(C#N)C=CC=C1</t>
  </si>
  <si>
    <t>C[C@@H](C1=CC(C(F)(F)F)=CC(C(F)(F)F)=C1)N2C=CC=C2</t>
  </si>
  <si>
    <t>BrC1=CC(C(F)(F)F)=CC(C(F)(F)F)=C1</t>
  </si>
  <si>
    <t>C[C@@H](C1=NC=CC=C1)N2C=CC=C2</t>
  </si>
  <si>
    <t>BrC1=CC=CC=N1</t>
  </si>
  <si>
    <t>C[C@@H](C1=CC=CC=C1)N2C=CC=C2</t>
  </si>
  <si>
    <t>C[C@@H](C1=CC=C(C(C)=O)C=C1)N2C=CC=C2C(C)=O</t>
  </si>
  <si>
    <t>C[C@H](N1C(C(C)=O)=CC=C1)C(O)=O</t>
  </si>
  <si>
    <t>C[C@@H](C1=CC=C(C#N)C=C1)N2C=CC=C2</t>
  </si>
  <si>
    <t>[C@H]1(N=C(OC1)C2=CC=CN2)C3=CC=CC=C3</t>
  </si>
  <si>
    <t>CC1=C(NS(=O)(C)=O)C(C(OC2)=N[C@H]2C(C)C)=CC=C1</t>
  </si>
  <si>
    <t>O=C(C1=NC=CC=C1)N[C@@H]2[C@@H](NC(C3=CC=CC=N3)=O)CCCC2</t>
  </si>
  <si>
    <t>CH3CN</t>
  </si>
  <si>
    <t>DMSO</t>
  </si>
  <si>
    <t>CH2Cl2</t>
  </si>
  <si>
    <t>Propylene carbonate</t>
  </si>
  <si>
    <t>Benzonitrile</t>
  </si>
  <si>
    <t>Toluene</t>
  </si>
  <si>
    <t>DME+Toluene</t>
  </si>
  <si>
    <t>Aceclidine</t>
  </si>
  <si>
    <t>DBN</t>
  </si>
  <si>
    <t>MeTBD</t>
  </si>
  <si>
    <t>BTMG</t>
  </si>
  <si>
    <t>TMG</t>
  </si>
  <si>
    <t>Phosphaz P1-tBu t(tm)</t>
  </si>
  <si>
    <t>TBAOH 30 H2O</t>
  </si>
  <si>
    <t>K2CO3</t>
  </si>
  <si>
    <t>acetone+H2O</t>
  </si>
  <si>
    <t>acetone+MeOH</t>
  </si>
  <si>
    <t>acetone+TFE</t>
  </si>
  <si>
    <t>acetone+HFIP</t>
  </si>
  <si>
    <t>DME+H2O</t>
  </si>
  <si>
    <t>DME+MeOH</t>
  </si>
  <si>
    <t>DME+iPrOH</t>
  </si>
  <si>
    <t>DME+tBuOH</t>
  </si>
  <si>
    <t>DME+TFE</t>
  </si>
  <si>
    <t>DME+HFIP</t>
  </si>
  <si>
    <t>CC(C)(C)[C@@H]1N=C(OC1)C2=CC=CC(O)=N2</t>
  </si>
  <si>
    <t>CC(C)(C)[C@@H]1N=C(OC1)C2=NC=CC=N2</t>
  </si>
  <si>
    <t>CC([C@@H]1N=C(OC1)C2=NC3=C(C=CC=C3)C=C2)C</t>
  </si>
  <si>
    <t>CC([C@@H]1N=C(OC1)C2=NC=CC3=C2C=CC=C3)(C)C</t>
  </si>
  <si>
    <t>C1([C@@H]2N=C(OC2)C3=NC=CC=C3)=CC=CC=C1</t>
  </si>
  <si>
    <t>C1([C@@H]2N=C(O[C@@H]2C3=CC=CC=C3)C4=NC=CC=C4)=CC=CC=C1</t>
  </si>
  <si>
    <t>CC1(C)OC(C2=NC=CC=C2)=N[C@H]1C3=CC=CC=C3</t>
  </si>
  <si>
    <t>N#C/C(C1=N[C@@H](C2=CC=CC=C2)CO1)=C3N[C@@H](C4=CC=CC=C4)CO/3</t>
  </si>
  <si>
    <t>N#C/C(C1=N[C@@H]2[C@@H](CC3=C2C=CC=C3)O1)=C4N[C@@H](C(C=CC=C5)=C5C6)[C@@H]6O/4</t>
  </si>
  <si>
    <t>N#C/C(C1=N[C@@H](C2=CC=CC=C2)C(C)(C)O1)=C3N[C@@H](C4=CC=CC=C4)C(C)(C)O/3</t>
  </si>
  <si>
    <t>C1([C@@H]2OC(C3(CCCC3)C4=N[C@H](C5=CC=CC=C5)[C@H](C6=CC=CC=C6)O4)=N[C@@H]2C7=CC=CC=C7)=CC=CC=C1</t>
  </si>
  <si>
    <t>O=C([C@@H](NC(C1=CC=CC=C1)=O)CCCC)CCC</t>
  </si>
  <si>
    <t>O=C(O)CCC</t>
  </si>
  <si>
    <t>[H]C(NC(C1=CC=CC=C1)=O)CCCC</t>
  </si>
  <si>
    <t>IPrOAc+DMDC+NH4Cl</t>
  </si>
  <si>
    <t>Na2HPO4</t>
  </si>
  <si>
    <t>J.Am.Chem.Soc.2020,142,45,19058-19064 HHH1</t>
  </si>
  <si>
    <t>IPrOAc+DMDC</t>
  </si>
  <si>
    <t>IPrOAc+Boc2O+NH4Cl</t>
  </si>
  <si>
    <t>EA+DMDC+NH4Cl</t>
  </si>
  <si>
    <t>dioxane+DMDC+NH4Cl</t>
  </si>
  <si>
    <t>C1(C[C@H]2COC(C3=N[C@H](CO3)CC4=CC=CC=C4)=N2)=CC=CC=C1</t>
  </si>
  <si>
    <t>CC(C)([C@H]1COC(C2=NC=CC=C2)=N1)C</t>
  </si>
  <si>
    <t>CC([C@@H](NC(C1=CC=CC=C1)=O)CCCC)=O</t>
  </si>
  <si>
    <t>CC(O)=O</t>
  </si>
  <si>
    <t>O=C(CCCCCCCC)[C@H](CCCC)NC(C1=CC=CC=C1)=O</t>
  </si>
  <si>
    <t>O=C(O)CCCCCCCC</t>
  </si>
  <si>
    <t>O=C([C@@H](NC(C1=CC=CC=C1)=O)CCCC)CC(C)C</t>
  </si>
  <si>
    <t>O=C(O)CC(C)C</t>
  </si>
  <si>
    <t>O=C([C@@H](NC(C1=CC=CC=C1)=O)CCCC)CC2CCCCC2</t>
  </si>
  <si>
    <t>O=C(O)CC1CCCCC1</t>
  </si>
  <si>
    <t>CCCC[C@H](C(CC12CC3CC(C2)CC(C1)C3)=O)NC(C4=CC=CC=C4)=O</t>
  </si>
  <si>
    <t>OC(CC12CC3CC(CC(C3)C2)C1)=O</t>
  </si>
  <si>
    <t>O=C([C@@H](NC(C1=CC=CC=C1)=O)CCCC)C2CCCCC2</t>
  </si>
  <si>
    <t>O=C(O)C1CCCCC1</t>
  </si>
  <si>
    <t>O=C([C@@H](NC(C1=CC=CC=C1)=O)CCCC)C(C)C</t>
  </si>
  <si>
    <t>O=C(O)C(C)C</t>
  </si>
  <si>
    <t>O=C([C@@H](NC(C1=CC=CC=C1)=O)CCCC)CCC2=CC=CC=C2</t>
  </si>
  <si>
    <t>O=C(O)CCC1=CC=CC=C1</t>
  </si>
  <si>
    <t>O=C([C@@H](NC(C1=CC=CC=C1)=O)CCCC)CCC(F)(F)F</t>
  </si>
  <si>
    <t>O=C(O)CCC(F)(F)F</t>
  </si>
  <si>
    <t>O=C([C@@H](NC(C1=CC=CC=C1)=O)CCCC)CCCC#N</t>
  </si>
  <si>
    <t>O=C(O)CCCC#N</t>
  </si>
  <si>
    <t>O=C([C@@H](NC(C1=CC=CC=C1)=O)CCCC)CCC(OC)=O</t>
  </si>
  <si>
    <t>O=C(O)CCC(C)=O</t>
  </si>
  <si>
    <t>O=C([C@@H](NC(C1=CC=CC=C1)=O)CCCC)CCCCCCl</t>
  </si>
  <si>
    <t>O=C(O)CCCCCCl</t>
  </si>
  <si>
    <t>O=C([C@@H](CCCC)NC(C1=CC=CC=C1)=O)CCCCCBr</t>
  </si>
  <si>
    <t>O=C(O)CCCCCBr</t>
  </si>
  <si>
    <t>O=C([C@H](CCCC)NC(C1=CC=CC=C1)=O)CCCC(C2=CC=CS2)=O</t>
  </si>
  <si>
    <t>O=C(O)CCCC(C1=CC=CS1)=O</t>
  </si>
  <si>
    <t>O=C([C@@H](NC(C1=CC=CC=C1)=O)CCCC)C2=CC=CC=C2</t>
  </si>
  <si>
    <t>O=C(O)C1=CC=CC=C1</t>
  </si>
  <si>
    <t>O=C([C@@H](NC(C1=CC=CC=C1)=O)CCCC)C2=CC=C(C3=CC=CC=C3)C=C2</t>
  </si>
  <si>
    <t>O=C(O)C1=CC=C(C2=CC=CC=C2)C=C1</t>
  </si>
  <si>
    <t>O=C([C@@H](NC(C1=CC=CC=C1)=O)CCCC)C2=CC=C(C)C=C2</t>
  </si>
  <si>
    <t>O=C(O)C1=CC=C(C)C=C1</t>
  </si>
  <si>
    <t>O=C([C@@H](NC(C1=CC=CC=C1)=O)CCCC)C2=CC(Cl)=CC=C2</t>
  </si>
  <si>
    <t>O=C(O)C1=CC(Cl)=CC=C1</t>
  </si>
  <si>
    <t>O=C([C@@H](NC(C1=CC=CC=C1)=O)CCCC)C2=CC=C(C(F)(F)F)C=C2</t>
  </si>
  <si>
    <t>O=C(O)C1=CC=C(C(F)(F)F)C=C1</t>
  </si>
  <si>
    <t>O=C([C@@H](NC(C1=CC=CC=C1)=O)CCCC)C2=CC(C=CC=C3)=C3C=C2</t>
  </si>
  <si>
    <t>O=C(O)C1=CC(C=CC=C2)=C2C=C1</t>
  </si>
  <si>
    <t>C[C@H](NC(C1=CC=CC=C1)=O)C(C2=CC=CC=C2)=O</t>
  </si>
  <si>
    <t>CC([H])NC(C1=CC=CC=C1)=O</t>
  </si>
  <si>
    <t>C[C@H](NC(C1=CC=CC=C1)=O)C(CCC)=O</t>
  </si>
  <si>
    <t>O=C(O)CC</t>
  </si>
  <si>
    <t>O=C([C@@H](NC(C1=CC=CC=C1)=O)CC)CCC</t>
  </si>
  <si>
    <t>[H]C(NC(C1=CC=CC=C1)=O)CC</t>
  </si>
  <si>
    <t>O=C([C@@H](NC(C1=CC=CC=C1)=O)CC(C)C)CCC</t>
  </si>
  <si>
    <t>[H]C(NC(C1=CC=CC=C1)=O)CC(C)C</t>
  </si>
  <si>
    <t>O=C(CCC)[C@H](CCCC)NC(C1=CC=CC=C1)=O</t>
  </si>
  <si>
    <t>[H]C(NC(C1=CC=CC=C1)=O)C(C)C</t>
  </si>
  <si>
    <t>O=C(CCC)[C@H](CCCCCC(OC)=O)NC(C1=CC=CC=C1)=O</t>
  </si>
  <si>
    <t>[H]C(NC(C1=CC=CC=C1)=O)CCCCCC(OC)=O</t>
  </si>
  <si>
    <t>O=C([C@@H](NC(C1=CC=CC=C1)=O)CCCl)CCC</t>
  </si>
  <si>
    <t>[H]C(NC(C1=CC=CC=C1)=O)CCCl</t>
  </si>
  <si>
    <t>O=C(CCC)[C@H](CCCCBr)NC(C1=CC=CC=C1)=O</t>
  </si>
  <si>
    <t>[H]C(NC(C1=CC=CC=C1)=O)CCCCBr</t>
  </si>
  <si>
    <t>O=C([C@@H](NC(C1=CC=CC=C1)=O)CCOCC)CCC</t>
  </si>
  <si>
    <t>[H]C(NC(C1=CC=CC=C1)=O)CCOCC</t>
  </si>
  <si>
    <t>CCCC([C@@H](NC(C1=CC=CC=C1)=O)CCCCCO[Si](C)(C)C(C)(C)C)=O</t>
  </si>
  <si>
    <t>[H]C(NC(C1=CC=CC=C1)=O)CCCCCO[Si](C)(C)C(C)(C)C</t>
  </si>
  <si>
    <t>CCCC([C@@H](NC(C1=CC=CC=C1)=O)CCCCCOC(C)=O)=O</t>
  </si>
  <si>
    <t>[H]C(NC(C1=CC=CC=C1)=O)CCCCCOC(C)=O</t>
  </si>
  <si>
    <t>CCCC([C@@H](NC(C1=CC=C(OC)C=C1)=O)CCCC)=O</t>
  </si>
  <si>
    <t>[H]C(NC(C1=CC=C(OC)C=C1)=O)CC</t>
  </si>
  <si>
    <t>CCCC([C@@H](NC(C1=CC(OC)=CC=C1)=O)CCCC)=O</t>
  </si>
  <si>
    <t>[H]C(NC(C1=CC(OC)=CC=C1)=O)CC</t>
  </si>
  <si>
    <t>CCCC([C@@H](NC(C1=CC=C(C(F)(F)F)C=C1)=O)CCCC)=O</t>
  </si>
  <si>
    <t>[H]C(NC(C1=CC=C(C(F)(F)F)C=C1)=O)CC</t>
  </si>
  <si>
    <t>CCCC([C@@H](NC(C1=CC=C(Cl)C=C1)=O)CCCC)=O</t>
  </si>
  <si>
    <t>[H]C(NC(C1=CC=C(Cl)C=C1)=O)CC</t>
  </si>
  <si>
    <t>CCCC([C@@H](NC(C1=CC=CS1)=O)CCCC)=O</t>
  </si>
  <si>
    <t>[H]C(NC(C1=CC=CS1)=O)CC</t>
  </si>
  <si>
    <t>CC(C1=N[C@H](C2=CC=CC=C2)CO1)(C)C3=N[C@H](C4=CC=CC=C4)CO3</t>
  </si>
  <si>
    <t>[C@H]1(C2=CC=CC=C2)N=C(C(CC3=CC=CC=C3)(CC4=CC=CC=C4)C5=N[C@H](C6=CC=CC=C6)[C@H](C7=CC=CC=C7)O5)O[C@H]1C8=CC=CC=C8</t>
  </si>
  <si>
    <t>CN[C@@H]1[C@@H](NC)CCCC1</t>
  </si>
  <si>
    <t>NaHCO3</t>
  </si>
  <si>
    <t>IPrOAc+DMDC+NH4Cl+H2O</t>
  </si>
  <si>
    <t>IPrOAc+DMDC+NH4Cl+TEMPO</t>
  </si>
  <si>
    <t>IPrOAc+DMDC+NH4Cl+N-pentylbenzamide</t>
  </si>
  <si>
    <t>O=C([C@H](CCCC)NC(C)=O)CCC</t>
  </si>
  <si>
    <t>[H]C(NC(C)=O)CCCC</t>
  </si>
  <si>
    <t>C1(C2(C3=NC[C@H](C4=CC=CC=C4)O3)CCCC2)=N[C@H](C5=CC=CC=C5)CO1</t>
  </si>
  <si>
    <t>C[C@@H](C(CCC1=CC=CC=C1)=O)C2=CC=C(C3=CC=CC=C3)C=C2</t>
  </si>
  <si>
    <t>O=C(CCC1=CC=CC=C1)O</t>
  </si>
  <si>
    <t>[H]C(C1=CC=C(C=C1)C2=CC=CC=C2)C</t>
  </si>
  <si>
    <t>Na2HPO4+NH4Cl</t>
  </si>
  <si>
    <t>40W 427nm Kessil lamp</t>
  </si>
  <si>
    <t>Nat Commun2021 10;12(1)3536 HHH2</t>
  </si>
  <si>
    <t>IPrOAc+Boc2O</t>
  </si>
  <si>
    <t>C1([C@@H]2OC(C3(C4=N[C@@H]([C@@H](O4)C5=CC=CC=C5)C6=CC=CC=C6)CCCC3)=N[C@@H]2C7=CC=CC=C7)=CC=CC=C1</t>
  </si>
  <si>
    <t>COC1=CC(OC)=CC(CC(C2=N[C@H](C3=CC=CC=C3)[C@H](C4=CC=CC=C4)O2)(CC5=CC(OC)=CC(OC)=C5)C6=N[C@H](C7=CC=CC=C7)[C@@H](O6)C8=CC=CC=C8)=C1</t>
  </si>
  <si>
    <t>[C@H]12OC(C3=N[C@@H](C(C=CC=C4)=C4C5)[C@@H]5O3)=N[C@H]1C6=C(C=CC=C6)C2</t>
  </si>
  <si>
    <t>[C@H]1(C2CCCCC2)COC(C3=N[C@@H](C4CCCCC4)CO3)=N1</t>
  </si>
  <si>
    <t>CC([C@@H](CO1)N=C1C2=CC=C(C=CC=C3)C3=N2)(C)C</t>
  </si>
  <si>
    <t>C[C@H](C1=CC=C(C=C1)C2=CC=CC=C2)C(C)=O</t>
  </si>
  <si>
    <t>O=C(C)O</t>
  </si>
  <si>
    <t>C[C@H](C1=CC=C(C=C1)C2=CC=CC=C2)C(CCC)=O</t>
  </si>
  <si>
    <t>O=C(CCC)O</t>
  </si>
  <si>
    <t>O=C([C@H](C1=CC=C(C2=CC=CC=C2)C=C1)C)CCCCCCCC</t>
  </si>
  <si>
    <t>O=C(CCCCCCCC)O</t>
  </si>
  <si>
    <t>O=C([C@H](C1=CC=C(C2=CC=CC=C2)C=C1)C)CC(C)C</t>
  </si>
  <si>
    <t>O=C(CC(C)C)O</t>
  </si>
  <si>
    <t>O=C([C@H](C1=CC=C(C2=CC=CC=C2)C=C1)C)CCC3=CC=CC=C3</t>
  </si>
  <si>
    <t>O=C([C@H](C1=CC=C(C2=CC=CC=C2)C=C1)C)CC3=CC=CC=C3</t>
  </si>
  <si>
    <t>O=C(CC1=CC=CC=C1)O</t>
  </si>
  <si>
    <t>O=C([C@H](C1=CC=C(C2=CC=CC=C2)C=C1)C)CCCCCCl</t>
  </si>
  <si>
    <t>O=C(CCCCCCl)O</t>
  </si>
  <si>
    <t>O=C([C@H](C1=CC=C(C2=CC=CC=C2)C=C1)C)CCCCCBr</t>
  </si>
  <si>
    <t>O=C(CCCCCBr)O</t>
  </si>
  <si>
    <t>O=C([C@H](C1=CC=C(C2=CC=CC=C2)C=C1)C)CCC(F)(F)F</t>
  </si>
  <si>
    <t>O=C(CCC(F)(F)F)O</t>
  </si>
  <si>
    <t>O=C([C@H](C1=CC=C(C2=CC=CC=C2)C=C1)C)CCCOC3=CC=CC=C3</t>
  </si>
  <si>
    <t>O=C(CCCOC1=CC=CC=C1)O</t>
  </si>
  <si>
    <t>O=C([C@H](C1=CC=C(C2=CC=CC=C2)C=C1)C)CCCC#N</t>
  </si>
  <si>
    <t>O=C(CCCC#N)O</t>
  </si>
  <si>
    <t>O=C([C@H](C1=CC=C(C2=CC=CC=C2)C=C1)C)CCCNC(OC(C)(C)C)=O</t>
  </si>
  <si>
    <t>O=C(CCCNC(OC(C)(C)C)=O)O</t>
  </si>
  <si>
    <t>O=C([C@H](C1=CC=C(C2=CC=CC=C2)C=C1)C)CCC(OC)=O</t>
  </si>
  <si>
    <t>O=C(CCCC(OC)=O)O</t>
  </si>
  <si>
    <t>O=C([C@H](C1=CC=C(C2=CC=CC=C2)C=C1)C)COC</t>
  </si>
  <si>
    <t>O=C(COC)O</t>
  </si>
  <si>
    <t>O=C([C@H](C1=CC=C(C2=CC=CC=C2)C=C1)C)CCCC=C</t>
  </si>
  <si>
    <t>O=C(CCCC=C)O</t>
  </si>
  <si>
    <t>O=C([C@H](C1=CC=C(C2=CC=CC=C2)C=C1)C)CCCCCCCCC=C</t>
  </si>
  <si>
    <t>O=C(CCCCCCCCC=C)O</t>
  </si>
  <si>
    <t>O=C([C@H](C1=CC=C(C2=CC=CC=C2)C=C1)C)CCCC(C3=CC=CS3)=O</t>
  </si>
  <si>
    <t>O=C(CCCC(C1=CC=CS1)=O)O</t>
  </si>
  <si>
    <t>O=C([C@H](C1=CC=C(C2=CC=CC=C2)C=C1)CC)C3=CC(C=CC=C4)=C4C=C3</t>
  </si>
  <si>
    <t>O=C(C1=CC(C=CC=C2)=C2C=C1)O</t>
  </si>
  <si>
    <t>[H]C(C1=CC=C(C=C1)C2=CC=CC=C2)CC</t>
  </si>
  <si>
    <t>O=C([C@H](C1=CC=C(C2=CC=CC=C2)C=C1)CC)C3=CC=C(C(F)(F)F)C=C3</t>
  </si>
  <si>
    <t>O=C(C1=CC=C(C(F)(F)F)C=C1)O</t>
  </si>
  <si>
    <t>O=C([C@H](C1=CC=CC=C1)C)CCC2=CC=CC=C2</t>
  </si>
  <si>
    <t>CC(C1=CC=CC=C1)[H]</t>
  </si>
  <si>
    <t>O=C([C@H](C1=CC=C(OC)C=C1)C)CCC2=CC=CC=C2</t>
  </si>
  <si>
    <t>CC(C1=CC=C(OC)C=C1)[H]</t>
  </si>
  <si>
    <t>O=C([C@H](C1=CC=C(OC(C)=O)C=C1)C)CCC2=CC=CC=C2</t>
  </si>
  <si>
    <t>CC(C1=CC=C(OC(C)=O)C=C1)[H]</t>
  </si>
  <si>
    <t>O=C([C@H](C1=CC=C(NC(C)=O)C=C1)C)CCC2=CC=CC=C2</t>
  </si>
  <si>
    <t>CC(C1=CC=C(NC(C)=O)C=C1)[H]</t>
  </si>
  <si>
    <t>O=C([C@H](C1=CC=C(F)C=C1)C)CCC2=CC=CC=C2</t>
  </si>
  <si>
    <t>CC(C1=CC=C(F)C=C1)[H]</t>
  </si>
  <si>
    <t>O=C([C@H](C1=CC=C(C(C)=O)C=C1)C)CCC2=CC=CC=C2</t>
  </si>
  <si>
    <t>CC(C1=CC=C(C(C)=O)C=C1)[H]</t>
  </si>
  <si>
    <t>O=C([C@H](C1=CC=C(C(OC)=O)C=C1)C)CCC2=CC=CC=C2</t>
  </si>
  <si>
    <t>CC(C1=CC=C(C(OC)=O)C=C1)[H]</t>
  </si>
  <si>
    <t>O=C([C@H](C1=CC=C(C#N)C=C1)C)CCC2=CC=CC=C2</t>
  </si>
  <si>
    <t>CC(C1=CC=C(C#N)C=C1)[H]</t>
  </si>
  <si>
    <t>O=C([C@H](C1=CC=C(C)C=C1)C)CCC2=CC=CC=C2</t>
  </si>
  <si>
    <t>CC(C1=CC=C(C)C=C1)[H]</t>
  </si>
  <si>
    <t>O=C([C@H](C1=CC=C(CC)C=C1)C)CCC2=CC=CC=C2</t>
  </si>
  <si>
    <t>CC(C1=CC=C(CC)C=C1)[H]</t>
  </si>
  <si>
    <t>O=C([C@H](C1=CC(CC)=CC(CC)=C1)C)CCC2=CC=CC=C2</t>
  </si>
  <si>
    <t>CC(C1=CC(CC)=CC(CC)=C1)[H]</t>
  </si>
  <si>
    <t>O=C([C@H](C1=CC=CC(F)=C1)C)CCC2=CC=CC=C2</t>
  </si>
  <si>
    <t>CC(C1=CC(F)=CC=C1)[H]</t>
  </si>
  <si>
    <t>O=C([C@H](C1=CC=CC(Br)=C1)C)CCC2=CC=CC=C2</t>
  </si>
  <si>
    <t>CC(C1=CC(Br)=CC=C1)[H]</t>
  </si>
  <si>
    <t>O=C([C@H](C1=C(Br)C=CC=C1)C)CCC2=CC=CC=C2</t>
  </si>
  <si>
    <t>CC(C1=CC=CC=C1Br)[H]</t>
  </si>
  <si>
    <t>C[C@@H](C1=CC=C(B2OC(C)(C)C(C)(C)O2)C=C1)C(CCC3=CC=CC=C3)=O</t>
  </si>
  <si>
    <t>CC([H])C1=CC=C(C=C1)B2OC(C)(C(C)(O2)C)C</t>
  </si>
  <si>
    <t>O=C([C@H](C1=CC=C(N2N=CC=C2)C=C1)C)CCC3=CC=CC=C3</t>
  </si>
  <si>
    <t>CC(C1=CC=C(N2N=CC=C2)C=C1)[H]</t>
  </si>
  <si>
    <t>O=C([C@H](C1=CSC=C1)C)CCC2=CC=CC=C2</t>
  </si>
  <si>
    <t>CC(C1=CSC=C1)[H]</t>
  </si>
  <si>
    <t>O=C([C@H](C1=CC(C=CC=C2)=C2C=C1)C)CCC3=CC=CC=C3</t>
  </si>
  <si>
    <t>CC(C1=CC=C2C(C=CC=C2)=C1)[H]</t>
  </si>
  <si>
    <t>O=C([C@H](C1=CC=CC=C1)CCC)CCC2=CC=CC=C2</t>
  </si>
  <si>
    <t>[H]C(C1=CC=CC=C1)CCC</t>
  </si>
  <si>
    <t>O=C([C@H](C1=CC=CC=C1)CC(C)C)CCC2=CC=CC=C2</t>
  </si>
  <si>
    <t>[H]C(C1=CC=CC=C1)CC(C)C</t>
  </si>
  <si>
    <t>O=C([C@H](C1=CC=CC=C1)CC(OCC)=O)CCC2=CC=CC=C2</t>
  </si>
  <si>
    <t>[H]C(C1=CC=CC=C1)CC(OCC)=O</t>
  </si>
  <si>
    <t>O=C([C@H](C1=CC=CC=C1)CCOC(C)=O)CCC2=CC=CC=C2</t>
  </si>
  <si>
    <t>[H]C(C1=CC=CC=C1)CCOC(C)=O</t>
  </si>
  <si>
    <t>O=C([C@H](C1=CC=CC=C1)CCCO[Si](C)(C)C(C)(C)C)CCC2=CC=CC=C2</t>
  </si>
  <si>
    <t>[H]C(C1=CC=CC=C1)CCCO[Si](C)(C)C(C)(C)C</t>
  </si>
  <si>
    <t>O=C([C@H](C1=CC=CC=C1)CCBr)CCC2=CC=CC=C2</t>
  </si>
  <si>
    <t>[H]C(C1=CC=CC=C1)CCBr</t>
  </si>
  <si>
    <t>O=C([C@H](C1=CC=CC=C1)CCCl)CCC2=CC=CC=C2</t>
  </si>
  <si>
    <t>[H]C(C1=CC=CC=C1)CCCl</t>
  </si>
  <si>
    <t>O=C([C@@H](CC1)C2=C1C=CC=C2)CCC3=CC=CC=C3</t>
  </si>
  <si>
    <t>[H]C1C2=CC=CC=C2CC1</t>
  </si>
  <si>
    <t>O=C(CCC1=CC=CC=C1)[C@H](C2=CC=C3C(C=CN3C(OC(C)(C)C)=O)=C2)C</t>
  </si>
  <si>
    <t>CC(C1=CC=C2C(C=CN2C(OC(C)(C)C)=O)=C1)[H]</t>
  </si>
  <si>
    <t>O=C([C@@H](C)C1=CC=C(CC(C)C)C=C1)CCC2=CC=CC=C2</t>
  </si>
  <si>
    <t>CC(C1=CC=C(CC(C)C)C=C1)[H]</t>
  </si>
  <si>
    <t>O=C([C@@H](C)C1=CC(OC2=CC=CC=C2)=CC=C1)CCC3=CC=CC=C3</t>
  </si>
  <si>
    <t>CC(C1=CC=CC(OC2=CC=CC=C2)=C1)[H]</t>
  </si>
  <si>
    <t>O=C([C@@H](C)C1=CC(C(C2=CC=CC=C2)=O)=CC=C1)CCC3=CC=CC=C3</t>
  </si>
  <si>
    <t>CC(C1=CC=CC(C(C2=CC=CC=C2)=O)=C1)[H]</t>
  </si>
  <si>
    <t>O=C(CCC1=CC=CC=C1)[C@H](C2=CC(C=CC(OC)=C3)=C3C=C2)C</t>
  </si>
  <si>
    <t>CC(C1=CC=C2C(C=CC(OC)=C2)=C1)[H]</t>
  </si>
  <si>
    <t>O=C(CCC1=CC=CC=C1)[C@H](C2=CC=C(C=C2)C3=CC=C(C=C3)C(OC)=O)CCCCC</t>
  </si>
  <si>
    <t>[H]C(C1=CC=C(C2=CC=C(C(OC)=O)C=C2)C=C1)CCCCC</t>
  </si>
  <si>
    <t>O=C([C@@H](C)C1=CC=C(C(O[C@H]2[C@H](C(C)C)CC[C@@H](C)C2)=O)C=C1)CCC3=CC=CC=C3</t>
  </si>
  <si>
    <t>[H]C(C1=CC=C(C=C1)C(O[C@H]2[C@@H](CC[C@H](C2)C)C(C)C)=O)C</t>
  </si>
  <si>
    <t>O=C([C@H](C)C1=CC=C(C(O[C@@H]2[C@@H](C(C)C)CC[C@H](C)C2)=O)C=C1)CCC3=CC=CC=C3</t>
  </si>
  <si>
    <t>[H]C(C1=CC=C(C=C1)C(O[C@@H]2[C@H](CC[C@@H](C2)C)C(C)C)=O)C</t>
  </si>
  <si>
    <t>O=C([C@H](C1=CC=CC=C1)C[C@@H](NC(OC(C)(C)C)=O)C(OC)=O)CCC2=CC=CC=C2</t>
  </si>
  <si>
    <t>[H]C(C[C@H](C(OC)=O)NC(OC(C)(C)C)=O)C1=CC=CC=C1</t>
  </si>
  <si>
    <t>O=C([C@@H](C1=CC=CC=C1)C[C@H](NC(OC(C)(C)C)=O)C(OC)=O)CCC2=CC=CC=C2</t>
  </si>
  <si>
    <t>[H]C(C[C@@H](C(OC)=O)NC(OC(C)(C)C)=O)C1=CC=CC=C1</t>
  </si>
  <si>
    <t>O=C([C@@H](C)C1=CC=C(C2=CC=CC=C2)C=C1)CCC3=NC(C4=CC=CC=C4)=C(C5=CC=CC=C5)O3</t>
  </si>
  <si>
    <t>O=C(CCC1=NC(C2=CC=CC=C2)=C(O1)C3=CC=CC=C3)O</t>
  </si>
  <si>
    <t>O=C(COC1=CC=C(Cl)C=C1Cl)[C@H](C2=CC=C(C=C2)C3=CC=CC=C3)C</t>
  </si>
  <si>
    <t>O=C(O)COC1=CC=C(C=C1Cl)Cl</t>
  </si>
  <si>
    <t>IPrOAc+DMDC+H2O</t>
  </si>
  <si>
    <t>EA+DMDC</t>
  </si>
  <si>
    <t>dioxane+DMDC</t>
  </si>
  <si>
    <t>Benzene+DMDC</t>
  </si>
  <si>
    <t>CC(C)(C1=NC[C@H](C2=CC=CC=C2)O1)C3=N[C@@H](CO3)C4=CC=CC=C4</t>
  </si>
  <si>
    <t>CC1=CC(C)=CC(C(C2=CC(C)=CC(C)=C2)(C3=N[C@H](C4=CC=CC=C4)[C@H](C5=CC=CC=C5)O3)C6=N[C@@H]([C@H](C7=CC=CC=C7)O6)C8=CC=CC=C8)=C1</t>
  </si>
  <si>
    <t>C1(C2=N[C@H](CC3=CC=CC=C3)CO2)=N[C@@H](CO1)CC4=CC=CC=C4</t>
  </si>
  <si>
    <t>CC([C@H]1CN(C2=CC=CC(C(C)(C)C)=C2)C(C3=N[C@@H](C(C)C)CN3C4=CC(C(C)(C)C)=CC=C4)=N1)C</t>
  </si>
  <si>
    <t>CC([C@H]1COC(C2=CC=CC(C3=N[C@@H](C(C)C)CO3)=N2)=N1)C</t>
  </si>
  <si>
    <t>C12=C([C@@H]3N=C(O[C@@H]3C2)C4(CC4)C5=N[C@H]6C7=C(C[C@H]6O5)C=CC=C7)C=CC=C1</t>
  </si>
  <si>
    <t>C[C@@H](C1=CC=C(C=C1)C2=CC=CC=C2)/C=C\C3=CC=CC=C3</t>
  </si>
  <si>
    <t>[H]C(C)(C1=CC=C(C=C1)C2=CC=CC=C2)[H]</t>
  </si>
  <si>
    <t>Br/C=C\C1=CC=CC=C1</t>
  </si>
  <si>
    <t>ACS Catal.2021,11, 21,13567-13574 HHH4</t>
  </si>
  <si>
    <t>EtOAc+H2O</t>
  </si>
  <si>
    <t>EtOAc+Benzene</t>
  </si>
  <si>
    <t>C1([C@@H]2OC(C3(CCCC3)C4=N[C@@H]([C@@H](O4)C5=CC=CC=C5)C6=CC=CC=C6)=N[C@@H]2C7=CC=CC=C7)=CC=CC=C1</t>
  </si>
  <si>
    <t>C1([C@H]2COC(C3(CCCC3)C4=N[C@H](CO4)C5=CC=CC=C5)=N2)=CC=CC=C1</t>
  </si>
  <si>
    <t>CC1=CC=CC=C1/C=C\[C@H](C)C2=CC=C(C3=CC=CC=C3)C=C2</t>
  </si>
  <si>
    <t>Br/C=C\C1=C(C)C=CC=C1</t>
  </si>
  <si>
    <t>C[C@@H](/C=C\C1=CC=CC=C1CC)C2=CC=C(C3=CC=CC=C3)C=C2</t>
  </si>
  <si>
    <t>Br/C=C\C1=C(CC)C=CC=C1</t>
  </si>
  <si>
    <t>C[C@@H](/C=C\C1=CC=CC=C1C(F)(F)F)C2=CC=C(C3=CC=CC=C3)C=C2</t>
  </si>
  <si>
    <t>Br/C=C\C1=C(C(F)(F)F)C=CC=C1</t>
  </si>
  <si>
    <t>ClC1=CC=CC=C1/C=C\[C@H](C)C2=CC=C(C3=CC=CC=C3)C=C2</t>
  </si>
  <si>
    <t>Br/C=C\C1=C(Cl)C=CC=C1</t>
  </si>
  <si>
    <t>C[C@@H](/C=C\C1=CC=CC=C1C2=CC=CC=C2)C3=CC=C(C4=CC=CC=C4)C=C3</t>
  </si>
  <si>
    <t>Br/C=C\C1=C(C2=CC=CC=C2)C=CC=C1</t>
  </si>
  <si>
    <t>C[C@@H](/C=C\C1=CC=CC2=C1C=CC=C2)C3=CC=C(C4=CC=CC=C4)C=C3</t>
  </si>
  <si>
    <t>Br/C=C\C1=C(C=CC=C2)C2=CC=C1</t>
  </si>
  <si>
    <t>C[C@@H](/C=C\C1=CC=CC=C1F)C2=CC=C(C3=CC=CC=C3)C=C2</t>
  </si>
  <si>
    <t>Br/C=C\C1=C(F)C=CC=C1</t>
  </si>
  <si>
    <t>C[C@@H](/C=C\C1=CC=C(F)C=C1F)C2=CC=C(C3=CC=CC=C3)C=C2</t>
  </si>
  <si>
    <t>Br/C=C\C1=C(F)C=C(F)C=C1</t>
  </si>
  <si>
    <t>C[C@@H](/C=C\C1=C(F)C=CC=C1F)C2=CC=C(C3=CC=CC=C3)C=C2</t>
  </si>
  <si>
    <t>Br/C=C\C1=C(F)C=CC=C1F</t>
  </si>
  <si>
    <t>C[C@@H](/C=C\C1=C(F)C(F)=C(F)C(F)=C1F)C2=CC=C(C3=CC=CC=C3)C=C2</t>
  </si>
  <si>
    <t>Br/C=C\C1=C(C(F)=C(C(F)=C1F)F)F</t>
  </si>
  <si>
    <t>C[C@@H](/C=C\C1=CC=CC=C1OC)C2=CC=C(C3=CC=CC=C3)C=C2</t>
  </si>
  <si>
    <t>Br/C=C\C1=C(OC)C=CC=C1</t>
  </si>
  <si>
    <t>C[C@@H](/C=C\C1=CC=CC=C1OCC)C2=CC=C(C3=CC=CC=C3)C=C2</t>
  </si>
  <si>
    <t>Br/C=C\C1=C(OCC)C=CC=C1</t>
  </si>
  <si>
    <t>C[C@@H](/C=C\C1=CC(C)=CC=C1)C2=CC=C(C3=CC=CC=C3)C=C2</t>
  </si>
  <si>
    <t>Br/C=C\C1=CC=CC(C)=C1</t>
  </si>
  <si>
    <t>C[C@@H](/C=C\C1=C(F)C=CC=C1F)C2=CC=C(C3=CC=C(OC)C=C3)C=C2</t>
  </si>
  <si>
    <t>[H]C(C)(C1=CC=C(C=C1)OC)[H]</t>
  </si>
  <si>
    <t>C[C@@H](/C=C\C1=C(F)C=CC=C1F)C2=CC=C(C3=CC=CC=C3OC)C=C2</t>
  </si>
  <si>
    <t>[H]C(C)(C1=CC=CC=C1OC)[H]</t>
  </si>
  <si>
    <t>C[C@@H](/C=C\C1=C(F)C=CC=C1F)C2=CC=C(C(OC)=O)C=C2</t>
  </si>
  <si>
    <t>[H]C(C)(C1=CC=C(C(OC)=O)C=C1)[H]</t>
  </si>
  <si>
    <t>C[C@@H](/C=C\C1=C(F)C=CC=C1F)C2=CC3=C(C=CC=C3)C=C2</t>
  </si>
  <si>
    <t>[H]C(C)(C1=CC2=C(C=CC=C2)C=C1)[H]</t>
  </si>
  <si>
    <t>C[C@@H](/C=C\C1=C(F)C=CC=C1F)C2=CC=C(C)C=C2</t>
  </si>
  <si>
    <t>[H]C(C)(C1=CC=C(C)C=C1)[H]</t>
  </si>
  <si>
    <t>C[C@@H](/C=C\C1=C(F)C=CC=C1F)C2=CC=C(CC)C=C2</t>
  </si>
  <si>
    <t>[H]C(C)(C1=CC=C(CC)C=C1)[H]</t>
  </si>
  <si>
    <t>CC1(C)C(C)(C)OB(C2=CC=C([C@H](/C=C\C3=C(F)C=CC=C3F)C)C=C2)O1</t>
  </si>
  <si>
    <t>CC1(C(C)(OB(O1)C2=CC=C(C=C2)C(C)([H])[H])C)C</t>
  </si>
  <si>
    <t>C[C@@H](/C=C\C1=C(F)C=CC=C1F)C2=CC=C(N3N=CC=C3)C=C2</t>
  </si>
  <si>
    <t>[H]C(C)(C1=CC=C(N2N=CC=C2)C=C1)[H]</t>
  </si>
  <si>
    <t>C[C@@H](/C=C\C1=C(F)C=CC=C1F)C2=CC(Br)=CC=C2</t>
  </si>
  <si>
    <t>[H]C(C)(C1=CC(Br)=CC=C1)[H]</t>
  </si>
  <si>
    <t>C[C@@H](/C=C\C1=C(F)C=CC=C1F)C2=CSC=C2</t>
  </si>
  <si>
    <t>[H]C(C)(C1=CSC=C1)[H]</t>
  </si>
  <si>
    <t>FC1=CC=CC(F)=C1/C=C\[C@H](CC)C2=CC=C(C3=CC=CC=C3)C=C2</t>
  </si>
  <si>
    <t>[H]C(C1=CC=C(C=C1)C2=CC=CC=C2)([H])CC</t>
  </si>
  <si>
    <t>FC1=CC=CC(F)=C1/C=C\[C@H](CC2=CC=CC=C2)C3=CC=CC=C3</t>
  </si>
  <si>
    <t>[H]C(C1=CC=CC=C1)([H])CC2=CC=CC=C2</t>
  </si>
  <si>
    <t>FC1=CC=CC(F)=C1/C=C\[C@H](CC(C)C)C2=CC=CC=C2</t>
  </si>
  <si>
    <t>[H]C(C1=CC=CC=C1)([H])CC(C)C</t>
  </si>
  <si>
    <t>FC1=CC=CC(F)=C1/C=C\[C@H](CC)C2=CC=C(OC)C(OC)=C2</t>
  </si>
  <si>
    <t>[H]C(C1=CC=C(OC)C(OC)=C1)([H])CC</t>
  </si>
  <si>
    <t>FC1=CC=CC(F)=C1/C=C\[C@H]2C3=C(CC2)C=CC=C3</t>
  </si>
  <si>
    <t>[H]C1([H])CCC2=C1C=CC=C2</t>
  </si>
  <si>
    <t>O=C(C1=CC=CC(/C=C\[C@H]2C3=C(C=CC=C3)CC2)=C1)OC</t>
  </si>
  <si>
    <t>Br/C=C\C1=CC=CC(C(OC)=O)=C1</t>
  </si>
  <si>
    <t>FC1=CC=CC(F)=C1/C=C\[C@H]2C3=C4C(C=CC=C4C2)=CC=C3</t>
  </si>
  <si>
    <t>[H]C1([H])C2=C3C(C=CC=C3C1)=CC=C2</t>
  </si>
  <si>
    <t>FC1=CC=CC(F)=C1/C=C\[C@@H]2CCOC3=C2C=CC=C3</t>
  </si>
  <si>
    <t>[H]C1([H])CCOC2=C1C=CC=C2</t>
  </si>
  <si>
    <t>C1(/C=C\[C@@H]2CCOC3=C2C=CC=C3)=CC=CC=C1</t>
  </si>
  <si>
    <t>FC1=CC=CC(F)=C1/C=C\[C@@H](C2=CC=C(C3=CC=CC=C3)C(F)=C2)C</t>
  </si>
  <si>
    <t>CC([H])([H])C1=CC=C(C(F)=C1)C2=CC=CC=C2</t>
  </si>
  <si>
    <t>FC1=CC=CC(F)=C1/C=C\[C@@H](C2=CC=C(CC(C)C)C=C2)C</t>
  </si>
  <si>
    <t>CC([H])([H])C1=CC=C(C=C1)CC(C)C</t>
  </si>
  <si>
    <t>COC(C1=CC=C(C2=CC=C([C@@H](CCCCC)/C=C\C3=C(F)C=CC=C3F)C=C2)C=C1)=O</t>
  </si>
  <si>
    <t>COC(C1=CC=C(C=C1)C2=CC=C(C=C2)C([H])([H])CCCCC)=O</t>
  </si>
  <si>
    <t>C[C@@H](/C=C/C1=CC=CC=C1)C2=CC=C(C3=CC=CC=C3)C=C2</t>
  </si>
  <si>
    <t>C[C@@H](/C=C/C1=CC=CC=C1)C2=CC=C(OC)C=C2</t>
  </si>
  <si>
    <t>CC(C1=CC=C(OC)C=C1)([H])[H]</t>
  </si>
  <si>
    <t>C[C@@H](/C=C/C1=CC=CC=C1)C2=CC=C(N3N=CC=C3)C=C2</t>
  </si>
  <si>
    <t>[H]C(C1=CC=C(C=C1)N2N=CC=C2)([H])C</t>
  </si>
  <si>
    <t>C[C@@H](/C=C/C1=CC=CC=C1)C2=CC=C(CC)C=C2</t>
  </si>
  <si>
    <t>[H]C(C1=CC=C(C=C1)CC)([H])C</t>
  </si>
  <si>
    <t>C[C@@H](/C=C/C1=CC=CC=C1)C2=CC=CC(Br)=C2</t>
  </si>
  <si>
    <t>[H]C(C1=CC(Br)=CC=C1)([H])C</t>
  </si>
  <si>
    <t>C[C@@H](/C=C/C1=CC=CC=C1)C2=CC=C(C3=CC=CC=C3)C(F)=C2</t>
  </si>
  <si>
    <t>[H]C(C1=CC(F)=C(C2=CC=CC=C2)C=C1)([H])C</t>
  </si>
  <si>
    <t>CC[C@@H](/C=C/C1=CC=CC=C1)C2=CC=C(C3=CC=CC=C3)C=C2</t>
  </si>
  <si>
    <t>[H]C(C1=CC=C(C2=CC=CC=C2)C=C1)([H])CC</t>
  </si>
  <si>
    <t>[C@@H](/C=C/C1=CC=CC=C1)(CCO2)C3=C2C=CC=C3</t>
  </si>
  <si>
    <t>[H]C1(CCOC2=C1C=CC=C2)[H]</t>
  </si>
  <si>
    <t>COC(C=C1)=CC=C1/C=C/[C@H](CC2)C3=C2C=CC=C3</t>
  </si>
  <si>
    <t>[H]C1(CCC2=C1C=CC=C2)[H]</t>
  </si>
  <si>
    <t>Br/C=C\C1=CC=C(OC)C=C1</t>
  </si>
  <si>
    <t>C[C@@H](/C=C/C1=CC=C(OC)C=C1)C2=CC=C(C3=CC=CC=C3)C=C2</t>
  </si>
  <si>
    <t>[H]C(C1=CC=C(C2=CC=CC=C2)C=C1)([H])C</t>
  </si>
  <si>
    <t>C[C@@H](/C=C/C1=CC=C(C(OC)=O)C=C1)C2=CC=C(C3=CC=CC=C3)C=C2</t>
  </si>
  <si>
    <t>Br/C=C\C1=CC=C(C(OC)=O)C=C1</t>
  </si>
  <si>
    <t>C[C@@H](/C=C/C1=CC(C(OC)=O)=CC=C1)C2=CC=C(C3=CC=CC=C3)C=C2</t>
  </si>
  <si>
    <t>Br/C=C\C1=CC(C(OC)=O)=CC=C1</t>
  </si>
  <si>
    <t>C[C@@H](/C=C/CCOC(C1=CC=CC=C1)=O)C2=CC=C(C3=CC=CC=C3)C=C2</t>
  </si>
  <si>
    <t>C[C@@H](/C=C/CCOC(C)=O)C1=CC=C(C2=CC=CC=C2)C=C1</t>
  </si>
  <si>
    <t>Br/C=C/CCOC(C)=O</t>
  </si>
  <si>
    <t>C[C@@H](/C=C/C1CCCCC1)C2=CC=C(OC)C=C2</t>
  </si>
  <si>
    <t>[H]C(C1=CC=C(OC)C=C1)([H])C</t>
  </si>
  <si>
    <t>Br/C=C/C1CCCCC1</t>
  </si>
  <si>
    <t>C[C@@H](/C=C/[Si](C)(C)C)C1=CC=C(OC)C=C1</t>
  </si>
  <si>
    <t>Br/C=C/[Si](C)(C)C</t>
  </si>
  <si>
    <t>iProAc</t>
  </si>
  <si>
    <t>PhCF3</t>
  </si>
  <si>
    <t>DCE</t>
  </si>
  <si>
    <t>Benzene</t>
  </si>
  <si>
    <t>C1(C2=N[C@@H](C3CCCCC3)CO2)=N[C@H](CO1)C4CCCCC4</t>
  </si>
  <si>
    <t>O=C(NC1=CC=CC=C1)C[C@H](C2=CC=C(C=C2)C(F)(F)F)C3=CC=CC=C3</t>
  </si>
  <si>
    <t>O=C(CC([H])C1=CC=CC=C1)NC2=CC=CC=C2</t>
  </si>
  <si>
    <t>FC(F)(C1=CC=C(C=C1)Br)F</t>
  </si>
  <si>
    <t>Na3PO4</t>
  </si>
  <si>
    <t>Org. Biomol. Chem, 2021,19, 9407-9409 HHH3</t>
  </si>
  <si>
    <t>C1(C(OC2)=N[C@H]2CC3=CC=CC=C3)=N[C@H](CO1)CC4=CC=CC=C4</t>
  </si>
  <si>
    <t>CC([C@@H](CN1C2=CC=CC(C(C)(C)C)=C2)N=C1C(N(C3=CC(C(C)(C)C)=CC=C3)C4)=N[C@H]4C(C)C)C</t>
  </si>
  <si>
    <t>C1(C2(CCCC2)C(OC3)=N[C@H]3C4=CC=CC=C4)=N[C@H](CO1)C5=CC=CC=C5</t>
  </si>
  <si>
    <t>COC1=CC=C(C=C1)[C@@H](C2=CC=C(C=C2)C(F)(F)F)CC(NC3=CC=CC=C3)=O</t>
  </si>
  <si>
    <t>O=C(CC([H])C1=CC=C(OC)C=C1)NC2=CC=CC=C2</t>
  </si>
  <si>
    <t>O=C(C[C@H](C1=CC=C(C=C1)C(F)(F)F)C2=CC(Cl)=CC=C2)NC3=CC=CC=C3</t>
  </si>
  <si>
    <t>O=C(CC([H])C1=CC=CC(Cl)=C1)NC2=CC=CC=C2</t>
  </si>
  <si>
    <t>O=C(C[C@H](C1=CC=C(C=C1)C(F)(F)F)C2=CC=CC=C2)NC3=CC=C(C#N)C=C3</t>
  </si>
  <si>
    <t>O=C(CC([H])C1=CC=CC=C1)NC2=CC=C(C#N)C=C2</t>
  </si>
  <si>
    <t>O=C(C[C@H](C1=CC=C(C=C1)C(F)(F)F)C2=CC=CC=C2)NC3=CC=CC(C(F)(F)F)=C3</t>
  </si>
  <si>
    <t>O=C(CC([H])C1=CC=CC=C1)NC2=CC=CC(C(F)(F)F)=C2</t>
  </si>
  <si>
    <t>O=C(C[C@H](C1=CC=C(C=C1)C(F)(F)F)C2=CC=CC=C2)NC3=CC=CC(OC)=C3</t>
  </si>
  <si>
    <t>O=C(CC([H])C1=CC=CC=C1)NC2=CC=CC(OC)=C2</t>
  </si>
  <si>
    <t>O=C(C[C@H](C1=CC=C(C=C1)C(F)(F)F)C2=CC=CC=C2)C3=CC=CC=C3</t>
  </si>
  <si>
    <t>O=C(CC([H])C1=CC=CC=C1)C2=CC=CC=C2</t>
  </si>
  <si>
    <t>O=C(C[C@H](C1=CC=C(C=C1)C(F)(F)F)C2=CC=CC=C2)OCC</t>
  </si>
  <si>
    <t>O=C(CC([H])C1=CC=CC=C1)OCC</t>
  </si>
  <si>
    <t>FC(F)(F)C(C=C1)=CC=C1[C@H](C2=CC=CC=C2)CCC(NC3=CC=CC=C3)=O</t>
  </si>
  <si>
    <t>[H]C(CCC(C1=CC=CC=C1)=O)C2=CC=CC=C2</t>
  </si>
  <si>
    <t>C[C@H](C1=CC=C(C=C1)C#N)C2=CC=CC=C2</t>
  </si>
  <si>
    <t>CC([H])C1=CC=CC=C1</t>
  </si>
  <si>
    <t>CC[C@H](C1=CC=C(C=C1)C(OC)=O)C2=CC=CC=C2</t>
  </si>
  <si>
    <t>[H]C(CC)C1=CC=CC=C1</t>
  </si>
  <si>
    <t>BrC(C=C1)=CC=C1C(OC)=O</t>
  </si>
  <si>
    <t>[H]C(CC(NC1=CC=CC=C1)=O)C2=CC=CC=C2</t>
  </si>
  <si>
    <t>O=C(NC1=CC=CC=C1)C[C@H](C2=CC=C(C=C2)C#N)C3=CC=CC=C3</t>
  </si>
  <si>
    <t>O=C(NC1=CC=CC=C1)C[C@H](C2=CC=C(C=C2)C(OC)=O)C3=CC=CC=C3</t>
  </si>
  <si>
    <t>O=C(NC1=CC=CC=C1)C[C@H](C2=CC=C(C=C2)C(C)=O)C3=CC=CC=C3</t>
  </si>
  <si>
    <t>BrC(C=C1)=CC=C1C(C)=O</t>
  </si>
  <si>
    <t>ClC(C=C1)=CC=C1[C@H](C2=CC=CC=C2)CC(NC3=CC=CC=C3)=O</t>
  </si>
  <si>
    <t>ClC1=CC=C(C=C1)Br</t>
  </si>
  <si>
    <t>O=C(NC1=CC=CC=C1)C[C@H](C2=CC(Br)=CC=C2)C3=CC=CC=C3</t>
  </si>
  <si>
    <t>BrC1=CC(Br)=CC=C1</t>
  </si>
  <si>
    <t>O=C(NC1=CC=CC=C1)C[C@H](C2=CC(OC)=CC=C2)C3=CC=CC=C3</t>
  </si>
  <si>
    <t>O=C(NC1=CC=CC=C1)C[C@H](C2=CC=C(OC3=CC=CC=C3)C=C2)C4=CC=CC=C4</t>
  </si>
  <si>
    <t>O=C(NC1=CC=CC=C1)C[C@H](C2=CC(C)=CC=C2)C3=CC=CC=C3</t>
  </si>
  <si>
    <t>O=C(NC1=CC=CC=C1)C[C@H](C2=CC(C=CO3)=C3C=C2)C4=CC=CC=C4</t>
  </si>
  <si>
    <t>BrC1=CC(C=CO2)=C2C=C1</t>
  </si>
  <si>
    <t>O=C(NC1=CC=CC=C1)C[C@H](C2=CC(C=CS3)=C3C=C2)C4=CC=CC=C4</t>
  </si>
  <si>
    <t>BrC1=CC(C=CS2)=C2C=C1</t>
  </si>
  <si>
    <t>CC(C)(C1=CC=CC(N2C[C@@H](N=C2C3=N[C@H](CN3C4=CC=CC(C(C)(C)C)=C4)C5CCCCC5)C6CCCCC6)=C1)C</t>
  </si>
  <si>
    <t>FC(F)(F)C1=CC=C([C@@H]2N(CCC2)C(C3=CC=CC=C3)=O)C=C1</t>
  </si>
  <si>
    <t>O=C(N1CCCC1)C2=CC=CC=C2</t>
  </si>
  <si>
    <t>FC(F)(C1=CC=C(Cl)C=C1)F</t>
  </si>
  <si>
    <t>J.Am,Chem.Soc.2022,144, 19,8797-8806 HHH5</t>
  </si>
  <si>
    <t>K3PO4</t>
  </si>
  <si>
    <t>lutidine</t>
  </si>
  <si>
    <t>quinuclidine</t>
  </si>
  <si>
    <t>C(OC1)(C2(CCCC2)C3=N[C@H](CO3)C4=CC=CC=C4)=N[C@H]1C5=CC=CC=C5</t>
  </si>
  <si>
    <t>CC(C)([C@@H]1COC(C2=NC=CC=C2)=N1)C</t>
  </si>
  <si>
    <t>C1(C2=N[C@@H]3[C@H](O2)CC4=C3C=CC=C4)=N[C@H]5C6=C(C[C@H]5O1)C=CC=C6</t>
  </si>
  <si>
    <t>CC([C@H]1CN(C(C2=N[C@H](CN2C3=CC=CC=C3)C(C)C)=N1)C4=CC=CC=C4)C</t>
  </si>
  <si>
    <t>CC([C@H]1CN(C(C2=N[C@H](CN2C3=CC(C(C)(C)C)=CC=C3)C(C)C)=N1)C4=CC=CC(C(C)(C)C)=C4)C</t>
  </si>
  <si>
    <t>CC(C[C@H]1CN(C(C2=N[C@H](CN2C3=CC(C(C)(C)C)=CC=C3)CC(C)C)=N1)C4=CC=CC(C(C)(C)C)=C4)C</t>
  </si>
  <si>
    <t>CC(C1=CC=CC(N2C[C@H](C3CCCCC3)N=C2C4=N[C@@H](C5CCCCC5)CN4C6=CC=CC(C(C)(C)C)=C6)=C1)(C)C</t>
  </si>
  <si>
    <t>N#CC1=CC=C([C@@H]2N(CCC2)C(C3=CC=CC=C3)=O)C=C1</t>
  </si>
  <si>
    <t>ClC(C=C1)=CC=C1C#N</t>
  </si>
  <si>
    <t>O=C(C1=CC=C([C@@H]2N(CCC2)C(C3=CC=CC=C3)=O)C=C1)C</t>
  </si>
  <si>
    <t>ClC(C=C1)=CC=C1C(C)=O</t>
  </si>
  <si>
    <t>O=C(N1[C@@H](C2=CC(C(C)=O)=CC=C2)CCC1)C3=CC=CC=C3</t>
  </si>
  <si>
    <t>ClC1=CC=CC(C(C)=O)=C1</t>
  </si>
  <si>
    <t>O=C(N1[C@@H](C2=CC(OC)=C(C(OC)=O)C=C2)CCC1)C3=CC=CC=C3</t>
  </si>
  <si>
    <t>ClC1=CC=C(C(OC)=O)C(OC)=C1</t>
  </si>
  <si>
    <t>FC1=C(C(OC)=O)C=CC([C@@H]2N(CCC2)C(C3=CC=CC=C3)=O)=C1</t>
  </si>
  <si>
    <t>ClC1=CC=C(C(OC)=O)C(F)=C1</t>
  </si>
  <si>
    <t>O=C(N1[C@@H](C2=CC(C(OC)=O)=C(C(OC)=O)C=C2)CCC1)C3=CC=CC=C3</t>
  </si>
  <si>
    <t>ClC1=CC(C(OC)=O)=CC(C(OC)=O)=C1</t>
  </si>
  <si>
    <t>O=C(OC1)C2=C1C=C([C@@H]3N(CCC3)C(C4=CC=CC=C4)=O)C=C2</t>
  </si>
  <si>
    <t>ClC1=CC=C(C(OC2)=O)C2=C1</t>
  </si>
  <si>
    <t>O=C(C1=CC=CC=C1)C2=CC=C([C@@H]3N(CCC3)C(C4=CC=CC=C4)=O)C=C2</t>
  </si>
  <si>
    <t>ClC1=CC=C(C(C2=CC=CC=C2)=O)C=C1</t>
  </si>
  <si>
    <t>O=C(OC)C1=CC=C([C@@H]2N(CCC2)C(C3=CC=CC=C3)=O)C=C1</t>
  </si>
  <si>
    <t>ClC1=CC=C(C(OC)=O)C=C1</t>
  </si>
  <si>
    <t>O=C(NC)C1=CC=C([C@@H]2N(CCC2)C(C3=CC=CC=C3)=O)C=C1</t>
  </si>
  <si>
    <t>ClC1=CC=C(C(NC)=O)C=C1</t>
  </si>
  <si>
    <t>O=C([H])C1=CC=C([C@@H]2N(CCC2)C(C3=CC=CC=C3)=O)C=C1</t>
  </si>
  <si>
    <t>ClC1=CC=C(C([H])=O)C=C1</t>
  </si>
  <si>
    <t>O=C(N1[C@@H](C2=CC=C(OC(F)(F)F)C=C2)CCC1)C3=CC=CC=C3</t>
  </si>
  <si>
    <t>ClC1=CC=C(OC(F)(F)F)C=C1</t>
  </si>
  <si>
    <t>FC1=CC=C([C@@H]2N(CCC2)C(C3=CC=CC=C3)=O)C=C1</t>
  </si>
  <si>
    <t>ClC1=CC=C(F)C=C1</t>
  </si>
  <si>
    <t>O=S(C1=CC=C([C@@H]2N(CCC2)C(C3=CC=CC=C3)=O)C=C1)(C)=O</t>
  </si>
  <si>
    <t>ClC1=CC=C(S(C)(=O)=O)C=C1</t>
  </si>
  <si>
    <t>O=C(CCCCl)C1=CC=C([C@@H]2N(CCC2)C(C3=CC=CC=C3)=O)C=C1</t>
  </si>
  <si>
    <t>ClC1=CC=C(C(CCCCl)=O)C=C1</t>
  </si>
  <si>
    <t>O=C(CCC(OC)=O)C1=CC=C([C@@H]2N(CCC2)C(C3=CC=CC=C3)=O)C=C1</t>
  </si>
  <si>
    <t>ClC1=CC=C(C(CCC(OC)=O)=O)C=C1</t>
  </si>
  <si>
    <t>CC1=CC=CC=C1[C@@H]2N(CCC2)C(C3=CC=CC=C3)=O</t>
  </si>
  <si>
    <t>ClC1=C(C)C=CC=C1</t>
  </si>
  <si>
    <t>O=C(N1[C@@H](C2=CC=CC=C2)CCC1)C3=CC=CC=C3</t>
  </si>
  <si>
    <t>ClC1=CC=CC=C1</t>
  </si>
  <si>
    <t>O=C(N1[C@@H](C2=CC(OC)=CC=C2)CCC1)C3=CC=CC=C3</t>
  </si>
  <si>
    <t>ClC1=CC=CC(OC)=C1</t>
  </si>
  <si>
    <t>O=C(N1[C@@H](C2=CC(C3=CC=CC=C3)=NC=C2)CCC1)C4=CC=CC=C4</t>
  </si>
  <si>
    <t>ClC1=CC=NC(C2=CC=CC=C2)=C1</t>
  </si>
  <si>
    <t>O=C(N1[C@@H](C2=CC(OC)=NC=C2)CCC1)C3=CC=CC=C3</t>
  </si>
  <si>
    <t>ClC1=CC=NC(OC)=C1</t>
  </si>
  <si>
    <t>CC1=C(C(OC)=O)C=C([C@@H]2N(CCC2)C(C3=CC=CC=C3)=O)C=N1</t>
  </si>
  <si>
    <t>ClC1=CN=C(C)C(C(OC)=O)=C1</t>
  </si>
  <si>
    <t>O=C(N1[C@@H](C2=CC=C(C(F)(F)F)N=C2)CCC1)C3=CC=CC=C3</t>
  </si>
  <si>
    <t>ClC1=CN=C(C(F)(F)F)C=C1</t>
  </si>
  <si>
    <t>O=C(N1[C@@H](C2=CN=C(OC)N=C2)CCC1)C3=CC=CC=C3</t>
  </si>
  <si>
    <t>ClC1=CN=C(OC)N=C1</t>
  </si>
  <si>
    <t>O=C(N(C)C=N1)C2=C1C=C([C@@H]3N(CCC3)C(C4=CC=CC=C4)=O)C=C2</t>
  </si>
  <si>
    <t>ClC1=CC=C(C(N(C)C=N2)=O)C2=C1</t>
  </si>
  <si>
    <t>O=S(C1=C(C=CC=C1)C(C2=C3C=C([C@@H]4N(CCC4)C(C5=CC=CC=C5)=O)C=C2)=O)(N3C)=O</t>
  </si>
  <si>
    <t>O=S(C1=C(C(C2=C3C=C(Cl)C=C2)=O)C=CC=C1)(N3C)=O</t>
  </si>
  <si>
    <t>O=C(N1[C@@H](C2=CC3=C(C=CC=C3)N=C2)CCC1)C4=CC=CC=C4</t>
  </si>
  <si>
    <t>ClC1=CC2=C(C=CC=C2)N=C1</t>
  </si>
  <si>
    <t>CC(C=C1)=NC2=C1C=C([C@@H]3N(CCC3)C(C4=CC=CC=C4)=O)C=C2</t>
  </si>
  <si>
    <t>ClC1=CC2=C(N=C(C)C=C2)C=C1</t>
  </si>
  <si>
    <t>O=C(N1[C@@H](C2=CC3=C(SC=C3)C=C2)CCC1)C4=CC=CC=C4</t>
  </si>
  <si>
    <t>ClC1=CC2=C(SC=C2)C=C1</t>
  </si>
  <si>
    <t>O=C(N1[C@@H](C2=CC3=C(OC=C3)C=C2)CCC1)C4=CC=CC=C4</t>
  </si>
  <si>
    <t>ClC1=CC2=C(OC=C2)C=C1</t>
  </si>
  <si>
    <t>O=C(N1[C@@H](C2=CC3=C(SC=N3)C=C2)CCC1)C4=CC=CC=C4</t>
  </si>
  <si>
    <t>ClC1=CC2=C(SC=N2)C=C1</t>
  </si>
  <si>
    <t>O=C(N1[C@@H](C2=CC3=C(N=CC=N3)C=C2)CCC1)C4=CC=CC=C4</t>
  </si>
  <si>
    <t>ClC1=CC2=C(N=CC=N2)C=C1</t>
  </si>
  <si>
    <t>O=C(C1=CC=CC=C1OC)N2[C@@H](C3=CC=C(C(C)=O)C=C3)CCC2</t>
  </si>
  <si>
    <t>O=C(C1=C(OC)C=CC=C1)N2CCCC2</t>
  </si>
  <si>
    <t>ClC1=CC=C(C(C)=O)C=C1</t>
  </si>
  <si>
    <t>O=C(C1=CC=CC(OC)=C1)N2[C@@H](C3=CC=C(C(C)=O)C=C3)CCC2</t>
  </si>
  <si>
    <t>O=C(C1=CC(OC)=CC=C1)N2CCCC2</t>
  </si>
  <si>
    <t>O=C(C1=CC=C(OC)C=C1)N2[C@@H](C3=CC=C(C(C)=O)C=C3)CCC2</t>
  </si>
  <si>
    <t>O=C(C1=CC=C(OC)C=C1)N2CCCC2</t>
  </si>
  <si>
    <t>O=C(C1=CC=C(C(F)(F)F)C=C1)N2[C@@H](C3=CC=C(C(C)=O)C=C3)CCC2</t>
  </si>
  <si>
    <t>O=C(C1=CC=C(C(F)(F)F)C=C1)N2CCCC2</t>
  </si>
  <si>
    <t>CC(OC(N1[C@@H](C2=CC=C(C(C)=O)C=C2)CCC1)=O)(C)C</t>
  </si>
  <si>
    <t>CC(OC(N1CCCC1)=O)(C)C</t>
  </si>
  <si>
    <t>O=C(N1[C@@H](C2=CC=C(C(C)=O)C=C2)CCC1)OCC3=CC=CC=C3</t>
  </si>
  <si>
    <t>O=C(N1CCCC1)OCC2=CC=CC=C2</t>
  </si>
  <si>
    <t>O=C(OC1=CC=CC=C1)N2[C@@H](C3=CC=C(C(C)=O)C=C3)CCC2</t>
  </si>
  <si>
    <t>O=C(N1CCCC1)OC2=CC=CC=C2</t>
  </si>
  <si>
    <t>O=C(C1=CC=CS1)N2[C@@H](C3=CC=C(C(C)=O)C=C3)CCC2</t>
  </si>
  <si>
    <t>O=C(C1=CC=CS1)N2CCCC2</t>
  </si>
  <si>
    <t>O=C(N1[C@@H](C2=CC=C(C(C)=O)C=C2)C(C=CC=C3)=C3C1)C4=CC=CC=C4</t>
  </si>
  <si>
    <t>O=C(N1CC(C=CC=C2)=C2C1)C3=CC=CC=C3</t>
  </si>
  <si>
    <t>O=C(C1=CC=CC=C1)N2CCCC[C@@H]2C3=CC=C(C(C)=O)C=C3</t>
  </si>
  <si>
    <t>O=C(N1CCCCC1)C2=CC=CC=C2</t>
  </si>
  <si>
    <t>O=C(C1=CC=CC=C1OC)N2CCCC[C@@H]2C3=CC=C(C(C)=O)C=C3</t>
  </si>
  <si>
    <t>O=C(N1CCCCC1)C2=CC=CC=C2OC</t>
  </si>
  <si>
    <t>CC(CCN1C(C2=CC=CC=C2)=O)(C)C[C@@H]1C3=CC=C(C(C)=O)C=C3</t>
  </si>
  <si>
    <t>CC(C)(CC1)CCN1C(C2=CC=CC=C2)=O</t>
  </si>
  <si>
    <t>O=C(C1=CC=C([C@H]2CCCCCN2C(C3=CC=CC=C3)=O)C=C1)C</t>
  </si>
  <si>
    <t>O=C(C1=CC=CC=C1)N2CCCCCC2</t>
  </si>
  <si>
    <t>FC(C1=CC=C([C@H]2CCCCCN2C(C3=CC=CC=C3)=O)C=C1)(F)F</t>
  </si>
  <si>
    <t>ClC1=CC=C(C(F)(F)F)C=C1</t>
  </si>
  <si>
    <t>O=C(C1=CC=C([C@H]2CCCCCN(C2)C(C3=CC=CC=C3)=O)C=C1)C</t>
  </si>
  <si>
    <t>FC(C1=CC=C([C@H]2CCCCCN(C2)C(C3=CC=CC=C3)=O)C=C1)(F)F</t>
  </si>
  <si>
    <t>O=C(N1C2=CC=CC=C2)CC[C@@H]1C3=CC=C(C(C)=O)C=C3</t>
  </si>
  <si>
    <t>O=C(CCC1)N1C2=CC=CC=C2</t>
  </si>
  <si>
    <t>C1=CC2=C(C=C1)[C@@H]1N=C(/C3=N/[C@H]4C5=C(C=CC=C5)C[C@H]4O3)O[C@@H]1C2</t>
  </si>
  <si>
    <t>O=C(N1C2=CC=CC=C2)CCCC[C@@H]1C(C=C3)=CC=C3C(C)=O</t>
  </si>
  <si>
    <t>O=C(CCCCC1)N1C2=CC=CC=C2</t>
  </si>
  <si>
    <t>C[C@@H](NC(C1=CC=CC=C1)=O)C2=CC=C(C(F)(F)F)C=C2</t>
  </si>
  <si>
    <t>CCNC(C1=CC=CC=C1)=O</t>
  </si>
  <si>
    <t>FC(C1=CC=C([C@@H](CCC)NC(C2=CC=CC=C2)=O)C=C1)(F)F</t>
  </si>
  <si>
    <t>CCCCNC(C1=CC=CC=C1)=O</t>
  </si>
  <si>
    <t>FC(C1=CC=C([C@@H](CC(C)C)NC(C2=CC=CC=C2)=O)C=C1)(F)F</t>
  </si>
  <si>
    <t>CC(CCNC(C1=CC=CC=C1)=O)C</t>
  </si>
  <si>
    <t>CCC[C@@H](NC(C1=CC=CC=C1)=O)C2=CC=CC=C2</t>
  </si>
  <si>
    <t>CCC[C@@H](NC(C1=CC=CC=C1)=O)C2=CC=C(C(C)=O)C=C2</t>
  </si>
  <si>
    <t>CCC[C@@H](NC(C1=CC=CC=C1)=O)C2=CC=C(OC3=CC=CC=C3)C=C2</t>
  </si>
  <si>
    <t>ClC1=CC=C(OC2=CC=CC=C2)C=C1</t>
  </si>
  <si>
    <t>CC(C1=CC=CC(N2C[C@H](C(C)CC)N=C2C3=N[C@@H](C(C)CC)CN3C4=CC=CC(C(C)(C)C)=C4)=C1)(C)C</t>
  </si>
  <si>
    <t>CC(C1=CC=CC(N2C[C@H](C(C)(C)C)N=C2C3=N[C@@H](C(C)(C)C)CN3C4=CC=CC(C(C)(C)C)=C4)=C1)(C)C</t>
  </si>
  <si>
    <t>KHCO3</t>
  </si>
  <si>
    <t>COC(C=CC=C1)=C1CC(C2=N[C@@H](C3=CC=CC=C3)[C@@H](C4=CC=CC=C4)O2)(CC5=CC=CC=C5OC)C6=N[C@@H](C7=CC=CC=C7)[C@@H](C8=CC=CC=C8)O6</t>
  </si>
  <si>
    <t>O=C(C1=CC=C(C2=CC=C(CCCCCC)C=C2)C=C1)N3CCC[C@@H]3C(CCC(OC)=O)=O</t>
  </si>
  <si>
    <t>[H]C(C1=CC=C(C=C1)C2C=CC(C(N3CCCC3[H])=O)=CC2)CCCCC</t>
  </si>
  <si>
    <t>O=C(CCC(OC)=O)O</t>
  </si>
  <si>
    <t>DMDC+2,6-lutidine</t>
  </si>
  <si>
    <t>Nat Commun2023 9;14(1)125 HHH6</t>
  </si>
  <si>
    <t>O=C(C1=CC=C(C2=CC=C([C@@H](C(CCC(OC)=O)=O)CCCCC)C=C2)C=C1)N3CCCC3</t>
  </si>
  <si>
    <t>DMDC+NaHCO3</t>
  </si>
  <si>
    <t>NiCl2`glyme+NaBr2</t>
  </si>
  <si>
    <t>Benzene+H2O</t>
  </si>
  <si>
    <t>C1(C2(CCCC2)C3=N[C@H]([C@H](O3)C4=CC=CC=C4)C5=CC=CC=C5)=N[C@H]([C@H](O1)C6=CC=CC=C6)C7=CC=CC=C7</t>
  </si>
  <si>
    <t>C1(C2(CCCC2)C3=N[C@H](CO3)C4=CC=CC=C4)=N[C@H](CO1)C5=CC=CC=C5</t>
  </si>
  <si>
    <t>CC([C@@H]1N=C(C2=N[C@H](CO2)C(C)C)OC1)C</t>
  </si>
  <si>
    <t>CC([C@@H]1COC(C2=CC=CC(C3=N[C@H](C(C)(C)C)CO3)=N2)=N1)(C)C</t>
  </si>
  <si>
    <t>O=C(C1=CC=C(CCCC)C=C1)N2CCC[C@@H]2C(CCC(OC)=O)=O</t>
  </si>
  <si>
    <t>O=C(N1CCCC1[H])C2=CCC(C=C2)CCCC</t>
  </si>
  <si>
    <t>OC(CCC(OC)=O)=O</t>
  </si>
  <si>
    <t>O=C(N1CCCC[C@@H]1C(CCC(OC)=O)=O)C2=CC=C(C=C2)CCCC</t>
  </si>
  <si>
    <t>O=C(N1C([H])CCCC1)C2=CCC(C=C2)CCCC</t>
  </si>
  <si>
    <t>O=C(N1C2=C(CC[C@@H]1C(CCC(OC)=O)=O)C=CC=C2)C3=CC=CC=C3</t>
  </si>
  <si>
    <t>O=C(N1C([H])CCC2=C1C=CC=C2)C3=CCCC=C3</t>
  </si>
  <si>
    <t>O=C([C@H]1CC(C=CC=C2)=C2CCN1C(C3=CC=CC=C3)=O)CCC(OC)=O</t>
  </si>
  <si>
    <t>O=C(C1=CC=CC=C1)N2CCC3=C(C=CC=C3)CC2[H]</t>
  </si>
  <si>
    <t>O=C([C@H]1CCC(C=CC=C2)=C2CN1C(C3=CC=CC=C3)=O)CCC(OC)=O</t>
  </si>
  <si>
    <t>O=C(C1=CC=CC=C1)N2CC3=C(C=CC=C3)CCC2[H]</t>
  </si>
  <si>
    <t>O=C([C@H]1CCCN1C(OCC2=CC=CC=C2)=O)CCC3=CC=C(C=C3)C4=CC=CC=C4</t>
  </si>
  <si>
    <t>O=C(OCC1=CC=CC=C1)N2C([H])CCC2</t>
  </si>
  <si>
    <t>OC(CCC1=CC=C(C2=CC=CC=C2)C=C1)=O</t>
  </si>
  <si>
    <t>CCCCCOC1=CC=C(C=C1)C(N2CCC[C@@H]2C(CCC(OC)=O)=O)=O</t>
  </si>
  <si>
    <t>O=C(N1C([H])CCC1)C2=CC=C(OCCCCC)C=C2</t>
  </si>
  <si>
    <t>CCCCNC(C1=CC=C(C=C1)C(N2CCC[C@@H]2C(CCC(OC)=O)=O)=O)=O</t>
  </si>
  <si>
    <t>O=C(N1C([H])CCC1)C2=CC=C(C(NCCCC)=O)C=C2</t>
  </si>
  <si>
    <t>CCCCNC(C1=CC=C(C=C1)C(N2CCCCC2C(CCC(OC)=O)=O)=O)=O</t>
  </si>
  <si>
    <t>O=C(N1C([H])CCCC1)C2=CC=C(C(NCCCC)=O)C=C2</t>
  </si>
  <si>
    <t>O=C(N1CCC[C@@H]1C(CCC(OC)=O)=O)C2=CC=C(C=C2)OC</t>
  </si>
  <si>
    <t>O=C(N1CCCC1[H])C2=CC=C(C=C2)OC</t>
  </si>
  <si>
    <t>O=C(N1[C@@H](C(CCC(OC)=O)=O)CCC1)C2=CC=C(C=C2)C(F)(F)F</t>
  </si>
  <si>
    <t>O=C(N1CCCC1[H])C2=CC=C(C=C2)C(F)(F)F</t>
  </si>
  <si>
    <t>O=C(C1=CC=CS1)N2[C@H](CCC2)C(CCC(OC)=O)=O</t>
  </si>
  <si>
    <t>O=C(N1CCCC1[H])C2=CC=CS2</t>
  </si>
  <si>
    <t>O=C(CCC(OC)=O)[C@@H]1N(CC1)C(C2=CC=CC=C2)=O</t>
  </si>
  <si>
    <t>[H]C1CCN1C(C2=CC=CC=C2)=O</t>
  </si>
  <si>
    <t>O=C(CCC(OC)=O)[C@@H]1N(CCCC1)C(C2=CC=CC=C2)=O</t>
  </si>
  <si>
    <t>O=C(C1=CC=CC=C1)N2C([H])CCCC2</t>
  </si>
  <si>
    <t>O=C(CCC(OC)=O)[C@@H]1N(CCCCC1)C(C2=CC=CC=C2)=O</t>
  </si>
  <si>
    <t>O=C(C1=CC=CC=C1)N2C([H])CCCCC2</t>
  </si>
  <si>
    <t>O=C(CCC(OC)=O)[C@@H]1N(CCCCCC1)C(C2=CC=CC=C2)=O</t>
  </si>
  <si>
    <t>O=C(C1=CC=CC=C1)N2C([H])CCCCCC2</t>
  </si>
  <si>
    <t>O=C([C@@H]1N(CCC1)C(OC2=CC=CC=C2)=O)CCC3=CC=C(C=C3)C4=CC=CC=C4</t>
  </si>
  <si>
    <t>O=C(OC1=CC=CC=C1)N2C([H])CCC2</t>
  </si>
  <si>
    <t>O=C(CCC(OC)=O)[C@@H]1N(C2=CC=CC=C2)C(CC1)=O</t>
  </si>
  <si>
    <t>O=C1N(C2=CC=CC=C2)C([H])CC1</t>
  </si>
  <si>
    <t>O=C(CCC(OC)=O)[C@@H]1N([C@@H](C)CC1)C(C2=CC=CC=C2)=O</t>
  </si>
  <si>
    <t>[H]C1N(C(C)CC1)C(C2=CC=CC=C2)=O</t>
  </si>
  <si>
    <t>O=C(CCC(OC)=O)[C@H]1N([C@H](C2=CC=CC=C2)CC1)C(C3=CC=CC=C3)=O</t>
  </si>
  <si>
    <t>[H]C1N(C(C2=CC=CC=C2)CC1)C(C3=CC=CC=C3)=O</t>
  </si>
  <si>
    <t>O=C(CCC(OC)=O)[C@H]1N([C@H](C(OC)=O)CC1)C(C2=CC=CC=C2)=O</t>
  </si>
  <si>
    <t>[H]C1N(C(C(OC)=O)CC1)C(C2=CC=CC=C2)=O</t>
  </si>
  <si>
    <t>O=C(CCC(OC)=O)[C@H]1N([C@H](CO[Si](C2=CC=CC=C2)(C(C)(C)C)C3=CC=CC=C3)CC1)C(C4=CC=CC=C4)=O</t>
  </si>
  <si>
    <t>[H]C1N(C(O[Si](C2=CC=CC=C2)(C(C)(C)C)C3=CC=CC=C3)CC1)C(C4=CC=CC=C4)=O</t>
  </si>
  <si>
    <t>[H]C1N(CCC1)C(C2=CC=CC=C2)=O</t>
  </si>
  <si>
    <t>O=C(CCC)[C@@H]1N(CCC1)C(C2=CC=CC=C2)=O</t>
  </si>
  <si>
    <t>OC(CCC)=O</t>
  </si>
  <si>
    <t>O=C(CC(C)C)[C@@H]1N(CCC1)C(C2=CC=CC=C2)=O</t>
  </si>
  <si>
    <t>OC(CC(C)C)=O</t>
  </si>
  <si>
    <t>O=C(C(C)C)[C@@H]1N(CCC1)C(C2=CC=CC=C2)=O</t>
  </si>
  <si>
    <t>OC(C(C)C)=O</t>
  </si>
  <si>
    <t>O=C(C1CCCCC1)[C@@H]2N(CCC2)C(C3=CC=CC=C3)=O</t>
  </si>
  <si>
    <t>OC(C1CCCCC1)=O</t>
  </si>
  <si>
    <t>O=C(CCC1=CC=CC=C1)[C@@H]2N(CCC2)C(C3=CC=CC=C3)=O</t>
  </si>
  <si>
    <t>OC(CCC1=CC=CC=C1)=O</t>
  </si>
  <si>
    <t>O=C(CCCCCCl)[C@@H]1N(CCC1)C(C2=CC=CC=C2)=O</t>
  </si>
  <si>
    <t>OC(CCCCCCl)=O</t>
  </si>
  <si>
    <t>O=C(CCCCCBr)[C@@H]1N(CCC1)C(C2=CC=CC=C2)=O</t>
  </si>
  <si>
    <t>OC(CCCCCBr)=O</t>
  </si>
  <si>
    <t>O=C(CCCCC1=CC=CS1)[C@@H]2N(CCC2)C(C3=CC=CC=C3)=O</t>
  </si>
  <si>
    <t>OC(CCCCC1=CC=CS1)=O</t>
  </si>
  <si>
    <t>O=C(C1=CC=CC=C1)[C@@H]2N(CCC2)C(C3=CC=CC=C3)=O</t>
  </si>
  <si>
    <t>OC(C1=CC=CC=C1)=O</t>
  </si>
  <si>
    <t>O=C(C1=CC=C(C(C)=O)C=C1)[C@@H]2N(CCC2)C(C3=CC=CC=C3)=O</t>
  </si>
  <si>
    <t>OC(C1=CC=C(C(C)=O)C=C1)=O</t>
  </si>
  <si>
    <t>O=C(C1=CC=C(F)C=C1)[C@@H]2N(CCC2)C(C3=CC=CC=C3)=O</t>
  </si>
  <si>
    <t>OC(C1=CC=C(F)C=C1)=O</t>
  </si>
  <si>
    <t>O=C(C1=CC=C(Cl)C=C1)[C@@H]2N(CCC2)C(C3=CC=CC=C3)=O</t>
  </si>
  <si>
    <t>OC(C1=CC=C(Cl)C=C1)=O</t>
  </si>
  <si>
    <t>O=C(C1=CC=C(OC)C=C1)[C@@H]2N(CCC2)C(C3=CC=CC=C3)=O</t>
  </si>
  <si>
    <t>OC(C1=CC=C(OC)C=C1)=O</t>
  </si>
  <si>
    <t>O=C(C1=CC=CC(Cl)=C1)[C@@H]2N(CCC2)C(C3=CC=CC=C3)=O</t>
  </si>
  <si>
    <t>OC(C1=CC=CC(Cl)=C1)=O</t>
  </si>
  <si>
    <t>O=C(CC)[C@@H]1N(CCCC1)C(C2=CC=CC=C2)=O</t>
  </si>
  <si>
    <t>DMDC+2,6-lutidine+NH4Cl</t>
  </si>
  <si>
    <t>C1(C2(CCCC2)C3=N[C@@H](C4=CC=CC=C4)[C@@H](C5=CC=CC=C5)O3)=N[C@@H](C6=CC=CC=C6)[C@@H](C7=CC=CC=C7)O1</t>
  </si>
  <si>
    <t>C1(C2(CCCC2)C3=NC[C@@H](C4=CC=CC=C4)O3)=N[C@@H](C5=CC=CC=C5)CO1</t>
  </si>
  <si>
    <t>C1(C(CC2=CC=CC=C2)(CC3=CC=CC=C3)C4=N[C@@H](C5=CC=CC=C5)[C@@H](C6=CC=CC=C6)O4)=N[C@@H](C7=CC=CC=C7)[C@@H](C8=CC=CC=C8)O1</t>
  </si>
  <si>
    <t>CC(C=CC=C1)=C1CC(C2=N[C@@H](C3=CC=CC=C3)[C@@H](C4=CC=CC=C4)O2)(CC5=CC=CC=C5C)C6=N[C@@H](C7=CC=CC=C7)[C@@H](C8=CC=CC=C8)O6</t>
  </si>
  <si>
    <t>CC1=CC(C)=CC(CC(C2=N[C@@H](C3=CC=CC=C3)[C@@H](C4=CC=CC=C4)O2)(CC5=CC(C)=CC(C)=C5)C6=N[C@@H](C7=CC=CC=C7)[C@@H](C8=CC=CC=C8)O6)=C1</t>
  </si>
  <si>
    <t>COC1=CC=CC(CC(C2=N[C@@H](C3=CC=CC=C3)[C@@H](C4=CC=CC=C4)O2)(CC5=CC=CC(OC)=C5)C6=N[C@@H](C7=CC=CC=C7)[C@@H](C8=CC=CC=C8)O6)=C1</t>
  </si>
  <si>
    <t>COC(C=C1)=CC=C1CC(C2=N[C@@H](C3=CC=CC=C3)[C@@H](C4=CC=CC=C4)O2)(CC5=CC=C(OC)C=C5)C6=N[C@@H](C7=CC=CC=C7)[C@@H](C8=CC=CC=C8)O6</t>
  </si>
  <si>
    <t>CC(C(C=C1)=CC=C1CC(C2=N[C@@H](C3=CC=CC=C3)[C@@H](C4=CC=CC=C4)O2)(CC5=CC=C(C(C)(C)C)C=C5)C6=N[C@@H](C7=CC=CC=C7)[C@@H](C8=CC=CC=C8)O6)(C)C</t>
  </si>
  <si>
    <t>FC(C(C=C1)=CC=C1CC(C2=N[C@@H](C3=CC=CC=C3)[C@@H](C4=CC=CC=C4)O2)(CC5=CC=C(C(F)(F)F)C=C5)C6=N[C@@H](C7=CC=CC=C7)[C@@H](C8=CC=CC=C8)O6)(F)F</t>
  </si>
  <si>
    <t>DMDC+Na3PO4+NH4Cl</t>
  </si>
  <si>
    <t>DMDC+Na2HPO4+NH4Cl</t>
  </si>
  <si>
    <t>DMDC+K2HPO4+NH4Cl</t>
  </si>
  <si>
    <t>DMDC+Na2CO3+NH4Cl</t>
  </si>
  <si>
    <t>DMDC+NaHCO3+NH4Cl</t>
  </si>
  <si>
    <t>DMDC+K2CO3+NH4Cl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</si>
</sst>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887"/>
  <sheetViews>
    <sheetView tabSelected="1" topLeftCell="E1" workbookViewId="0">
      <pane ySplit="1" topLeftCell="A861" activePane="bottomLeft" state="frozen"/>
      <selection/>
      <selection pane="bottomLeft" activeCell="Z862" sqref="Z862"/>
    </sheetView>
  </sheetViews>
  <sheetFormatPr defaultColWidth="9" defaultRowHeight="14.4"/>
  <cols>
    <col min="17" max="17" width="22.2685185185185" customWidth="1"/>
  </cols>
  <sheetData>
    <row r="1" spans="2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1" t="s">
        <v>23</v>
      </c>
    </row>
    <row r="2" spans="1:25">
      <c r="A2" s="1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-5</v>
      </c>
      <c r="H2">
        <v>7</v>
      </c>
      <c r="I2">
        <v>49</v>
      </c>
      <c r="J2">
        <v>45</v>
      </c>
      <c r="K2">
        <v>2</v>
      </c>
      <c r="L2">
        <v>2</v>
      </c>
      <c r="M2">
        <v>72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75</v>
      </c>
      <c r="T2">
        <v>90</v>
      </c>
      <c r="U2">
        <f t="shared" ref="U2:U65" si="0">LN((1+T2*0.01)/(1-T2*0.01))*-(G2+273)*8.314/1000</f>
        <v>-6.56065760030766</v>
      </c>
      <c r="V2">
        <f t="shared" ref="V2:V65" si="1">LN((1+T2*0.01)/(1-T2*0.01))*-(G2+273)</f>
        <v>-789.109646416606</v>
      </c>
      <c r="W2">
        <f t="shared" ref="W2:W65" si="2">LN((1+T2*0.01)/(1-T2*0.01))*-(G2+273)*8.314</f>
        <v>-6560.65760030766</v>
      </c>
      <c r="X2">
        <f>-LN((1+T2*0.01)/(1-T2*0.01))</f>
        <v>-2.94443897916644</v>
      </c>
      <c r="Y2">
        <v>-5</v>
      </c>
    </row>
    <row r="3" spans="1:25">
      <c r="A3" s="1">
        <v>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-5</v>
      </c>
      <c r="H3">
        <v>7</v>
      </c>
      <c r="I3">
        <v>49</v>
      </c>
      <c r="J3">
        <v>45</v>
      </c>
      <c r="K3">
        <v>1</v>
      </c>
      <c r="L3">
        <v>2</v>
      </c>
      <c r="M3">
        <v>72</v>
      </c>
      <c r="N3" t="s">
        <v>29</v>
      </c>
      <c r="O3" t="s">
        <v>30</v>
      </c>
      <c r="P3" t="s">
        <v>34</v>
      </c>
      <c r="Q3" t="s">
        <v>32</v>
      </c>
      <c r="R3" t="s">
        <v>33</v>
      </c>
      <c r="S3">
        <v>28</v>
      </c>
      <c r="T3">
        <v>88</v>
      </c>
      <c r="U3">
        <f t="shared" si="0"/>
        <v>-6.13083891082504</v>
      </c>
      <c r="V3">
        <f t="shared" si="1"/>
        <v>-737.411463895242</v>
      </c>
      <c r="W3">
        <f t="shared" si="2"/>
        <v>-6130.83891082504</v>
      </c>
      <c r="X3">
        <f t="shared" ref="X3:X63" si="3">-LN((1+T3*0.01)/(1-T3*0.01))</f>
        <v>-2.75153531304195</v>
      </c>
      <c r="Y3">
        <v>-5</v>
      </c>
    </row>
    <row r="4" spans="1:25">
      <c r="A4" s="1">
        <v>5</v>
      </c>
      <c r="B4" t="s">
        <v>35</v>
      </c>
      <c r="C4" t="s">
        <v>25</v>
      </c>
      <c r="D4" t="s">
        <v>26</v>
      </c>
      <c r="E4" t="s">
        <v>27</v>
      </c>
      <c r="F4" t="s">
        <v>28</v>
      </c>
      <c r="G4">
        <v>-5</v>
      </c>
      <c r="H4">
        <v>7</v>
      </c>
      <c r="I4">
        <v>49</v>
      </c>
      <c r="J4">
        <v>45</v>
      </c>
      <c r="K4">
        <v>7</v>
      </c>
      <c r="L4">
        <v>2</v>
      </c>
      <c r="M4">
        <v>72</v>
      </c>
      <c r="N4" t="s">
        <v>29</v>
      </c>
      <c r="O4" t="s">
        <v>30</v>
      </c>
      <c r="P4" t="s">
        <v>36</v>
      </c>
      <c r="Q4" t="s">
        <v>32</v>
      </c>
      <c r="R4" t="s">
        <v>33</v>
      </c>
      <c r="S4">
        <v>20</v>
      </c>
      <c r="T4">
        <v>85</v>
      </c>
      <c r="U4">
        <f t="shared" si="0"/>
        <v>-5.59779880067363</v>
      </c>
      <c r="V4">
        <f t="shared" si="1"/>
        <v>-673.297907225599</v>
      </c>
      <c r="W4">
        <f t="shared" si="2"/>
        <v>-5597.79880067363</v>
      </c>
      <c r="X4">
        <f t="shared" si="3"/>
        <v>-2.51230562397611</v>
      </c>
      <c r="Y4">
        <v>-5</v>
      </c>
    </row>
    <row r="5" spans="1:25">
      <c r="A5" s="1">
        <v>6</v>
      </c>
      <c r="B5" t="s">
        <v>37</v>
      </c>
      <c r="C5" t="s">
        <v>25</v>
      </c>
      <c r="D5" t="s">
        <v>26</v>
      </c>
      <c r="E5" t="s">
        <v>27</v>
      </c>
      <c r="F5" t="s">
        <v>28</v>
      </c>
      <c r="G5">
        <v>-5</v>
      </c>
      <c r="H5">
        <v>7</v>
      </c>
      <c r="I5">
        <v>49</v>
      </c>
      <c r="J5">
        <v>45</v>
      </c>
      <c r="K5">
        <v>7</v>
      </c>
      <c r="L5">
        <v>2</v>
      </c>
      <c r="M5">
        <v>72</v>
      </c>
      <c r="N5" t="s">
        <v>29</v>
      </c>
      <c r="O5" t="s">
        <v>30</v>
      </c>
      <c r="P5" t="s">
        <v>36</v>
      </c>
      <c r="Q5" t="s">
        <v>32</v>
      </c>
      <c r="R5" t="s">
        <v>33</v>
      </c>
      <c r="S5">
        <v>56</v>
      </c>
      <c r="T5">
        <v>72</v>
      </c>
      <c r="U5">
        <f t="shared" si="0"/>
        <v>-4.04474196974495</v>
      </c>
      <c r="V5">
        <f t="shared" si="1"/>
        <v>-486.497711059051</v>
      </c>
      <c r="W5">
        <f t="shared" si="2"/>
        <v>-4044.74196974495</v>
      </c>
      <c r="X5">
        <f t="shared" si="3"/>
        <v>-1.81528996663825</v>
      </c>
      <c r="Y5">
        <v>-5</v>
      </c>
    </row>
    <row r="6" spans="1:25">
      <c r="A6" s="1">
        <v>7</v>
      </c>
      <c r="B6" t="s">
        <v>38</v>
      </c>
      <c r="C6" t="s">
        <v>25</v>
      </c>
      <c r="D6" t="s">
        <v>26</v>
      </c>
      <c r="E6" t="s">
        <v>27</v>
      </c>
      <c r="F6" t="s">
        <v>28</v>
      </c>
      <c r="G6">
        <v>-5</v>
      </c>
      <c r="H6">
        <v>7</v>
      </c>
      <c r="I6">
        <v>49</v>
      </c>
      <c r="J6">
        <v>45</v>
      </c>
      <c r="K6">
        <v>7</v>
      </c>
      <c r="L6">
        <v>2</v>
      </c>
      <c r="M6">
        <v>72</v>
      </c>
      <c r="N6" t="s">
        <v>29</v>
      </c>
      <c r="O6" t="s">
        <v>30</v>
      </c>
      <c r="P6" t="s">
        <v>36</v>
      </c>
      <c r="Q6" t="s">
        <v>32</v>
      </c>
      <c r="R6" t="s">
        <v>33</v>
      </c>
      <c r="S6">
        <v>8</v>
      </c>
      <c r="T6">
        <v>39</v>
      </c>
      <c r="U6">
        <f t="shared" si="0"/>
        <v>-1.83510614084753</v>
      </c>
      <c r="V6">
        <f t="shared" si="1"/>
        <v>-220.724818480578</v>
      </c>
      <c r="W6">
        <f t="shared" si="2"/>
        <v>-1835.10614084753</v>
      </c>
      <c r="X6">
        <f t="shared" si="3"/>
        <v>-0.823600068957381</v>
      </c>
      <c r="Y6">
        <v>-5</v>
      </c>
    </row>
    <row r="7" spans="1:25">
      <c r="A7" s="1">
        <v>8</v>
      </c>
      <c r="B7" t="s">
        <v>39</v>
      </c>
      <c r="C7" t="s">
        <v>25</v>
      </c>
      <c r="D7" t="s">
        <v>26</v>
      </c>
      <c r="E7" t="s">
        <v>27</v>
      </c>
      <c r="F7" t="s">
        <v>28</v>
      </c>
      <c r="G7">
        <v>-5</v>
      </c>
      <c r="H7">
        <v>7</v>
      </c>
      <c r="I7">
        <v>49</v>
      </c>
      <c r="J7">
        <v>45</v>
      </c>
      <c r="K7">
        <v>7</v>
      </c>
      <c r="L7">
        <v>2</v>
      </c>
      <c r="M7">
        <v>72</v>
      </c>
      <c r="N7" t="s">
        <v>29</v>
      </c>
      <c r="O7" t="s">
        <v>30</v>
      </c>
      <c r="P7" t="s">
        <v>36</v>
      </c>
      <c r="Q7" t="s">
        <v>32</v>
      </c>
      <c r="R7" t="s">
        <v>33</v>
      </c>
      <c r="S7">
        <v>16</v>
      </c>
      <c r="T7">
        <v>7</v>
      </c>
      <c r="U7">
        <f t="shared" si="0"/>
        <v>-0.312452287295552</v>
      </c>
      <c r="V7">
        <f t="shared" si="1"/>
        <v>-37.5814634707183</v>
      </c>
      <c r="W7">
        <f t="shared" si="2"/>
        <v>-312.452287295552</v>
      </c>
      <c r="X7">
        <f t="shared" si="3"/>
        <v>-0.14022934130865</v>
      </c>
      <c r="Y7">
        <v>-5</v>
      </c>
    </row>
    <row r="8" spans="1:25">
      <c r="A8" s="1">
        <v>9</v>
      </c>
      <c r="B8" t="s">
        <v>40</v>
      </c>
      <c r="C8" t="s">
        <v>25</v>
      </c>
      <c r="D8" t="s">
        <v>26</v>
      </c>
      <c r="E8" t="s">
        <v>27</v>
      </c>
      <c r="F8" t="s">
        <v>28</v>
      </c>
      <c r="G8">
        <v>-5</v>
      </c>
      <c r="H8">
        <v>7</v>
      </c>
      <c r="I8">
        <v>49</v>
      </c>
      <c r="J8">
        <v>45</v>
      </c>
      <c r="K8">
        <v>7</v>
      </c>
      <c r="L8">
        <v>2</v>
      </c>
      <c r="M8">
        <v>72</v>
      </c>
      <c r="N8" t="s">
        <v>29</v>
      </c>
      <c r="O8" t="s">
        <v>30</v>
      </c>
      <c r="P8" t="s">
        <v>36</v>
      </c>
      <c r="Q8" t="s">
        <v>32</v>
      </c>
      <c r="R8" t="s">
        <v>33</v>
      </c>
      <c r="S8">
        <v>54</v>
      </c>
      <c r="T8">
        <v>56</v>
      </c>
      <c r="U8">
        <f t="shared" si="0"/>
        <v>-2.82009706107083</v>
      </c>
      <c r="V8">
        <f t="shared" si="1"/>
        <v>-339.198588052782</v>
      </c>
      <c r="W8">
        <f t="shared" si="2"/>
        <v>-2820.09706107083</v>
      </c>
      <c r="X8">
        <f t="shared" si="3"/>
        <v>-1.26566637333128</v>
      </c>
      <c r="Y8">
        <v>-5</v>
      </c>
    </row>
    <row r="9" spans="1:25">
      <c r="A9" s="1">
        <v>10</v>
      </c>
      <c r="B9" t="s">
        <v>24</v>
      </c>
      <c r="C9" t="s">
        <v>25</v>
      </c>
      <c r="D9" t="s">
        <v>26</v>
      </c>
      <c r="E9" t="s">
        <v>27</v>
      </c>
      <c r="F9" t="s">
        <v>41</v>
      </c>
      <c r="G9">
        <v>-5</v>
      </c>
      <c r="H9">
        <v>0</v>
      </c>
      <c r="I9">
        <v>49</v>
      </c>
      <c r="J9">
        <v>45</v>
      </c>
      <c r="K9">
        <v>2</v>
      </c>
      <c r="L9">
        <v>2</v>
      </c>
      <c r="M9">
        <v>72</v>
      </c>
      <c r="N9" t="s">
        <v>29</v>
      </c>
      <c r="O9" t="s">
        <v>30</v>
      </c>
      <c r="P9" t="s">
        <v>31</v>
      </c>
      <c r="Q9" t="s">
        <v>32</v>
      </c>
      <c r="R9" t="s">
        <v>33</v>
      </c>
      <c r="S9">
        <v>65</v>
      </c>
      <c r="T9">
        <v>80</v>
      </c>
      <c r="U9">
        <f t="shared" si="0"/>
        <v>-4.89575033644085</v>
      </c>
      <c r="V9">
        <f t="shared" si="1"/>
        <v>-588.856186726107</v>
      </c>
      <c r="W9">
        <f t="shared" si="2"/>
        <v>-4895.75033644085</v>
      </c>
      <c r="X9">
        <f t="shared" si="3"/>
        <v>-2.19722457733622</v>
      </c>
      <c r="Y9">
        <v>-5</v>
      </c>
    </row>
    <row r="10" spans="1:25">
      <c r="A10" s="1">
        <v>11</v>
      </c>
      <c r="B10" t="s">
        <v>24</v>
      </c>
      <c r="C10" t="s">
        <v>25</v>
      </c>
      <c r="D10" t="s">
        <v>26</v>
      </c>
      <c r="E10" t="s">
        <v>27</v>
      </c>
      <c r="F10" t="s">
        <v>42</v>
      </c>
      <c r="G10">
        <v>-5</v>
      </c>
      <c r="H10">
        <v>3</v>
      </c>
      <c r="I10">
        <v>49</v>
      </c>
      <c r="J10">
        <v>45</v>
      </c>
      <c r="K10">
        <v>2</v>
      </c>
      <c r="L10">
        <v>2</v>
      </c>
      <c r="M10">
        <v>72</v>
      </c>
      <c r="N10" t="s">
        <v>29</v>
      </c>
      <c r="O10" t="s">
        <v>30</v>
      </c>
      <c r="P10" t="s">
        <v>31</v>
      </c>
      <c r="Q10" t="s">
        <v>32</v>
      </c>
      <c r="R10" t="s">
        <v>33</v>
      </c>
      <c r="S10">
        <v>34</v>
      </c>
      <c r="T10">
        <v>31</v>
      </c>
      <c r="U10">
        <f t="shared" si="0"/>
        <v>-1.4284477896539</v>
      </c>
      <c r="V10">
        <f t="shared" si="1"/>
        <v>-171.812339385843</v>
      </c>
      <c r="W10">
        <f t="shared" si="2"/>
        <v>-1428.4477896539</v>
      </c>
      <c r="X10">
        <f t="shared" si="3"/>
        <v>-0.641090818603892</v>
      </c>
      <c r="Y10">
        <v>-5</v>
      </c>
    </row>
    <row r="11" spans="1:25">
      <c r="A11" s="1">
        <v>12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-5</v>
      </c>
      <c r="H11">
        <v>7</v>
      </c>
      <c r="I11">
        <v>50</v>
      </c>
      <c r="J11">
        <v>45</v>
      </c>
      <c r="K11">
        <v>2</v>
      </c>
      <c r="L11">
        <v>2</v>
      </c>
      <c r="M11">
        <v>72</v>
      </c>
      <c r="N11" t="s">
        <v>43</v>
      </c>
      <c r="O11" t="s">
        <v>30</v>
      </c>
      <c r="P11" t="s">
        <v>31</v>
      </c>
      <c r="Q11" t="s">
        <v>32</v>
      </c>
      <c r="R11" t="s">
        <v>33</v>
      </c>
      <c r="S11">
        <v>68</v>
      </c>
      <c r="T11">
        <v>90</v>
      </c>
      <c r="U11">
        <f t="shared" si="0"/>
        <v>-6.56065760030766</v>
      </c>
      <c r="V11">
        <f t="shared" si="1"/>
        <v>-789.109646416606</v>
      </c>
      <c r="W11">
        <f t="shared" si="2"/>
        <v>-6560.65760030766</v>
      </c>
      <c r="X11">
        <f t="shared" si="3"/>
        <v>-2.94443897916644</v>
      </c>
      <c r="Y11">
        <v>-5</v>
      </c>
    </row>
    <row r="12" spans="1:25">
      <c r="A12" s="1">
        <v>13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25</v>
      </c>
      <c r="H12">
        <v>7</v>
      </c>
      <c r="I12">
        <v>50</v>
      </c>
      <c r="J12">
        <v>45</v>
      </c>
      <c r="K12">
        <v>2</v>
      </c>
      <c r="L12">
        <v>2</v>
      </c>
      <c r="M12">
        <v>72</v>
      </c>
      <c r="N12" t="s">
        <v>43</v>
      </c>
      <c r="O12" t="s">
        <v>30</v>
      </c>
      <c r="P12" t="s">
        <v>31</v>
      </c>
      <c r="Q12" t="s">
        <v>32</v>
      </c>
      <c r="R12" t="s">
        <v>33</v>
      </c>
      <c r="S12">
        <v>66</v>
      </c>
      <c r="T12">
        <v>87</v>
      </c>
      <c r="U12">
        <f t="shared" si="0"/>
        <v>-6.60560152861296</v>
      </c>
      <c r="V12">
        <f t="shared" si="1"/>
        <v>-794.515459299129</v>
      </c>
      <c r="W12">
        <f t="shared" si="2"/>
        <v>-6605.60152861296</v>
      </c>
      <c r="X12">
        <f t="shared" si="3"/>
        <v>-2.66615925939305</v>
      </c>
      <c r="Y12">
        <v>25</v>
      </c>
    </row>
    <row r="13" spans="1:25">
      <c r="A13" s="1">
        <v>14</v>
      </c>
      <c r="B13" t="s">
        <v>24</v>
      </c>
      <c r="C13" t="s">
        <v>44</v>
      </c>
      <c r="D13" t="s">
        <v>26</v>
      </c>
      <c r="E13" t="s">
        <v>45</v>
      </c>
      <c r="F13" t="s">
        <v>28</v>
      </c>
      <c r="G13">
        <v>-5</v>
      </c>
      <c r="H13">
        <v>7</v>
      </c>
      <c r="I13">
        <v>49</v>
      </c>
      <c r="J13">
        <v>45</v>
      </c>
      <c r="K13">
        <v>2</v>
      </c>
      <c r="L13">
        <v>2</v>
      </c>
      <c r="M13">
        <v>72</v>
      </c>
      <c r="N13" t="s">
        <v>29</v>
      </c>
      <c r="O13" t="s">
        <v>30</v>
      </c>
      <c r="P13" t="s">
        <v>31</v>
      </c>
      <c r="Q13" t="s">
        <v>32</v>
      </c>
      <c r="R13" t="s">
        <v>33</v>
      </c>
      <c r="S13">
        <v>60</v>
      </c>
      <c r="T13">
        <v>93</v>
      </c>
      <c r="U13">
        <f t="shared" si="0"/>
        <v>-7.39029007935091</v>
      </c>
      <c r="V13">
        <f t="shared" si="1"/>
        <v>-888.897050679686</v>
      </c>
      <c r="W13">
        <f t="shared" si="2"/>
        <v>-7390.29007935091</v>
      </c>
      <c r="X13">
        <f t="shared" si="3"/>
        <v>-3.31678003984957</v>
      </c>
      <c r="Y13">
        <v>-5</v>
      </c>
    </row>
    <row r="14" spans="1:25">
      <c r="A14" s="1">
        <v>15</v>
      </c>
      <c r="B14" t="s">
        <v>24</v>
      </c>
      <c r="C14" t="s">
        <v>46</v>
      </c>
      <c r="D14" t="s">
        <v>26</v>
      </c>
      <c r="E14" t="s">
        <v>47</v>
      </c>
      <c r="F14" t="s">
        <v>28</v>
      </c>
      <c r="G14">
        <v>-5</v>
      </c>
      <c r="H14">
        <v>7</v>
      </c>
      <c r="I14">
        <v>49</v>
      </c>
      <c r="J14">
        <v>45</v>
      </c>
      <c r="K14">
        <v>2</v>
      </c>
      <c r="L14">
        <v>2</v>
      </c>
      <c r="M14">
        <v>72</v>
      </c>
      <c r="N14" t="s">
        <v>29</v>
      </c>
      <c r="O14" t="s">
        <v>30</v>
      </c>
      <c r="P14" t="s">
        <v>31</v>
      </c>
      <c r="Q14" t="s">
        <v>32</v>
      </c>
      <c r="R14" t="s">
        <v>33</v>
      </c>
      <c r="S14">
        <v>92</v>
      </c>
      <c r="T14">
        <v>92</v>
      </c>
      <c r="U14">
        <f t="shared" si="0"/>
        <v>-7.08118699819744</v>
      </c>
      <c r="V14">
        <f t="shared" si="1"/>
        <v>-851.71842653325</v>
      </c>
      <c r="W14">
        <f t="shared" si="2"/>
        <v>-7081.18699819744</v>
      </c>
      <c r="X14">
        <f t="shared" si="3"/>
        <v>-3.17805383034795</v>
      </c>
      <c r="Y14">
        <v>-5</v>
      </c>
    </row>
    <row r="15" spans="1:25">
      <c r="A15" s="1">
        <v>16</v>
      </c>
      <c r="B15" t="s">
        <v>24</v>
      </c>
      <c r="C15" t="s">
        <v>48</v>
      </c>
      <c r="D15" t="s">
        <v>26</v>
      </c>
      <c r="E15" t="s">
        <v>49</v>
      </c>
      <c r="F15" t="s">
        <v>28</v>
      </c>
      <c r="G15">
        <v>-5</v>
      </c>
      <c r="H15">
        <v>7</v>
      </c>
      <c r="I15">
        <v>49</v>
      </c>
      <c r="J15">
        <v>45</v>
      </c>
      <c r="K15">
        <v>2</v>
      </c>
      <c r="L15">
        <v>2</v>
      </c>
      <c r="M15">
        <v>72</v>
      </c>
      <c r="N15" t="s">
        <v>29</v>
      </c>
      <c r="O15" t="s">
        <v>30</v>
      </c>
      <c r="P15" t="s">
        <v>31</v>
      </c>
      <c r="Q15" t="s">
        <v>32</v>
      </c>
      <c r="R15" t="s">
        <v>33</v>
      </c>
      <c r="S15">
        <v>67</v>
      </c>
      <c r="T15">
        <v>90</v>
      </c>
      <c r="U15">
        <f t="shared" si="0"/>
        <v>-6.56065760030766</v>
      </c>
      <c r="V15">
        <f t="shared" si="1"/>
        <v>-789.109646416606</v>
      </c>
      <c r="W15">
        <f t="shared" si="2"/>
        <v>-6560.65760030766</v>
      </c>
      <c r="X15">
        <f t="shared" si="3"/>
        <v>-2.94443897916644</v>
      </c>
      <c r="Y15">
        <v>-5</v>
      </c>
    </row>
    <row r="16" spans="1:25">
      <c r="A16" s="1">
        <v>17</v>
      </c>
      <c r="B16" t="s">
        <v>24</v>
      </c>
      <c r="C16" t="s">
        <v>50</v>
      </c>
      <c r="D16" t="s">
        <v>26</v>
      </c>
      <c r="E16" t="s">
        <v>51</v>
      </c>
      <c r="F16" t="s">
        <v>28</v>
      </c>
      <c r="G16">
        <v>-5</v>
      </c>
      <c r="H16">
        <v>7</v>
      </c>
      <c r="I16">
        <v>49</v>
      </c>
      <c r="J16">
        <v>45</v>
      </c>
      <c r="K16">
        <v>2</v>
      </c>
      <c r="L16">
        <v>2</v>
      </c>
      <c r="M16">
        <v>72</v>
      </c>
      <c r="N16" t="s">
        <v>29</v>
      </c>
      <c r="O16" t="s">
        <v>30</v>
      </c>
      <c r="P16" t="s">
        <v>31</v>
      </c>
      <c r="Q16" t="s">
        <v>32</v>
      </c>
      <c r="R16" t="s">
        <v>33</v>
      </c>
      <c r="S16">
        <v>83</v>
      </c>
      <c r="T16">
        <v>92</v>
      </c>
      <c r="U16">
        <f t="shared" si="0"/>
        <v>-7.08118699819744</v>
      </c>
      <c r="V16">
        <f t="shared" si="1"/>
        <v>-851.71842653325</v>
      </c>
      <c r="W16">
        <f t="shared" si="2"/>
        <v>-7081.18699819744</v>
      </c>
      <c r="X16">
        <f t="shared" si="3"/>
        <v>-3.17805383034795</v>
      </c>
      <c r="Y16">
        <v>-5</v>
      </c>
    </row>
    <row r="17" spans="1:25">
      <c r="A17" s="1">
        <v>18</v>
      </c>
      <c r="B17" t="s">
        <v>24</v>
      </c>
      <c r="C17" t="s">
        <v>52</v>
      </c>
      <c r="D17" t="s">
        <v>26</v>
      </c>
      <c r="E17" t="s">
        <v>53</v>
      </c>
      <c r="F17" t="s">
        <v>28</v>
      </c>
      <c r="G17">
        <v>-5</v>
      </c>
      <c r="H17">
        <v>7</v>
      </c>
      <c r="I17">
        <v>49</v>
      </c>
      <c r="J17">
        <v>45</v>
      </c>
      <c r="K17">
        <v>2</v>
      </c>
      <c r="L17">
        <v>2</v>
      </c>
      <c r="M17">
        <v>72</v>
      </c>
      <c r="N17" t="s">
        <v>29</v>
      </c>
      <c r="O17" t="s">
        <v>30</v>
      </c>
      <c r="P17" t="s">
        <v>31</v>
      </c>
      <c r="Q17" t="s">
        <v>32</v>
      </c>
      <c r="R17" t="s">
        <v>33</v>
      </c>
      <c r="S17">
        <v>72</v>
      </c>
      <c r="T17">
        <v>92</v>
      </c>
      <c r="U17">
        <f t="shared" si="0"/>
        <v>-7.08118699819744</v>
      </c>
      <c r="V17">
        <f t="shared" si="1"/>
        <v>-851.71842653325</v>
      </c>
      <c r="W17">
        <f t="shared" si="2"/>
        <v>-7081.18699819744</v>
      </c>
      <c r="X17">
        <f t="shared" si="3"/>
        <v>-3.17805383034795</v>
      </c>
      <c r="Y17">
        <v>-5</v>
      </c>
    </row>
    <row r="18" spans="1:25">
      <c r="A18" s="1">
        <v>19</v>
      </c>
      <c r="B18" t="s">
        <v>24</v>
      </c>
      <c r="C18" t="s">
        <v>54</v>
      </c>
      <c r="D18" t="s">
        <v>26</v>
      </c>
      <c r="E18" t="s">
        <v>55</v>
      </c>
      <c r="F18" t="s">
        <v>28</v>
      </c>
      <c r="G18">
        <v>-5</v>
      </c>
      <c r="H18">
        <v>7</v>
      </c>
      <c r="I18">
        <v>49</v>
      </c>
      <c r="J18">
        <v>45</v>
      </c>
      <c r="K18">
        <v>2</v>
      </c>
      <c r="L18">
        <v>2</v>
      </c>
      <c r="M18">
        <v>72</v>
      </c>
      <c r="N18" t="s">
        <v>29</v>
      </c>
      <c r="O18" t="s">
        <v>30</v>
      </c>
      <c r="P18" t="s">
        <v>31</v>
      </c>
      <c r="Q18" t="s">
        <v>32</v>
      </c>
      <c r="R18" t="s">
        <v>33</v>
      </c>
      <c r="S18">
        <v>69</v>
      </c>
      <c r="T18">
        <v>90</v>
      </c>
      <c r="U18">
        <f t="shared" si="0"/>
        <v>-6.56065760030766</v>
      </c>
      <c r="V18">
        <f t="shared" si="1"/>
        <v>-789.109646416606</v>
      </c>
      <c r="W18">
        <f t="shared" si="2"/>
        <v>-6560.65760030766</v>
      </c>
      <c r="X18">
        <f t="shared" si="3"/>
        <v>-2.94443897916644</v>
      </c>
      <c r="Y18">
        <v>-5</v>
      </c>
    </row>
    <row r="19" spans="1:25">
      <c r="A19" s="1">
        <v>20</v>
      </c>
      <c r="B19" t="s">
        <v>24</v>
      </c>
      <c r="C19" t="s">
        <v>56</v>
      </c>
      <c r="D19" t="s">
        <v>26</v>
      </c>
      <c r="E19" t="s">
        <v>57</v>
      </c>
      <c r="F19" t="s">
        <v>28</v>
      </c>
      <c r="G19">
        <v>-5</v>
      </c>
      <c r="H19">
        <v>7</v>
      </c>
      <c r="I19">
        <v>49</v>
      </c>
      <c r="J19">
        <v>45</v>
      </c>
      <c r="K19">
        <v>2</v>
      </c>
      <c r="L19">
        <v>2</v>
      </c>
      <c r="M19">
        <v>72</v>
      </c>
      <c r="N19" t="s">
        <v>29</v>
      </c>
      <c r="O19" t="s">
        <v>30</v>
      </c>
      <c r="P19" t="s">
        <v>31</v>
      </c>
      <c r="Q19" t="s">
        <v>32</v>
      </c>
      <c r="R19" t="s">
        <v>33</v>
      </c>
      <c r="S19">
        <v>67</v>
      </c>
      <c r="T19">
        <v>88</v>
      </c>
      <c r="U19">
        <f t="shared" si="0"/>
        <v>-6.13083891082504</v>
      </c>
      <c r="V19">
        <f t="shared" si="1"/>
        <v>-737.411463895242</v>
      </c>
      <c r="W19">
        <f t="shared" si="2"/>
        <v>-6130.83891082504</v>
      </c>
      <c r="X19">
        <f t="shared" si="3"/>
        <v>-2.75153531304195</v>
      </c>
      <c r="Y19">
        <v>-5</v>
      </c>
    </row>
    <row r="20" spans="1:25">
      <c r="A20" s="1">
        <v>21</v>
      </c>
      <c r="B20" t="s">
        <v>24</v>
      </c>
      <c r="C20" t="s">
        <v>58</v>
      </c>
      <c r="D20" t="s">
        <v>26</v>
      </c>
      <c r="E20" t="s">
        <v>59</v>
      </c>
      <c r="F20" t="s">
        <v>28</v>
      </c>
      <c r="G20">
        <v>-5</v>
      </c>
      <c r="H20">
        <v>7</v>
      </c>
      <c r="I20">
        <v>49</v>
      </c>
      <c r="J20">
        <v>45</v>
      </c>
      <c r="K20">
        <v>2</v>
      </c>
      <c r="L20">
        <v>2</v>
      </c>
      <c r="M20">
        <v>72</v>
      </c>
      <c r="N20" t="s">
        <v>29</v>
      </c>
      <c r="O20" t="s">
        <v>30</v>
      </c>
      <c r="P20" t="s">
        <v>31</v>
      </c>
      <c r="Q20" t="s">
        <v>32</v>
      </c>
      <c r="R20" t="s">
        <v>33</v>
      </c>
      <c r="S20">
        <v>64</v>
      </c>
      <c r="T20">
        <v>90</v>
      </c>
      <c r="U20">
        <f t="shared" si="0"/>
        <v>-6.56065760030766</v>
      </c>
      <c r="V20">
        <f t="shared" si="1"/>
        <v>-789.109646416606</v>
      </c>
      <c r="W20">
        <f t="shared" si="2"/>
        <v>-6560.65760030766</v>
      </c>
      <c r="X20">
        <f t="shared" si="3"/>
        <v>-2.94443897916644</v>
      </c>
      <c r="Y20">
        <v>-5</v>
      </c>
    </row>
    <row r="21" spans="1:25">
      <c r="A21" s="1">
        <v>22</v>
      </c>
      <c r="B21" t="s">
        <v>24</v>
      </c>
      <c r="C21" t="s">
        <v>60</v>
      </c>
      <c r="D21" t="s">
        <v>26</v>
      </c>
      <c r="E21" t="s">
        <v>61</v>
      </c>
      <c r="F21" t="s">
        <v>28</v>
      </c>
      <c r="G21">
        <v>-5</v>
      </c>
      <c r="H21">
        <v>7</v>
      </c>
      <c r="I21">
        <v>49</v>
      </c>
      <c r="J21">
        <v>45</v>
      </c>
      <c r="K21">
        <v>2</v>
      </c>
      <c r="L21">
        <v>2</v>
      </c>
      <c r="M21">
        <v>72</v>
      </c>
      <c r="N21" t="s">
        <v>29</v>
      </c>
      <c r="O21" t="s">
        <v>30</v>
      </c>
      <c r="P21" t="s">
        <v>31</v>
      </c>
      <c r="Q21" t="s">
        <v>32</v>
      </c>
      <c r="R21" t="s">
        <v>33</v>
      </c>
      <c r="S21">
        <v>67</v>
      </c>
      <c r="T21">
        <v>89</v>
      </c>
      <c r="U21">
        <f t="shared" si="0"/>
        <v>-6.33653394722294</v>
      </c>
      <c r="V21">
        <f t="shared" si="1"/>
        <v>-762.152266926021</v>
      </c>
      <c r="W21">
        <f t="shared" si="2"/>
        <v>-6336.53394722294</v>
      </c>
      <c r="X21">
        <f t="shared" si="3"/>
        <v>-2.84385174226127</v>
      </c>
      <c r="Y21">
        <v>-5</v>
      </c>
    </row>
    <row r="22" spans="1:25">
      <c r="A22" s="1">
        <v>23</v>
      </c>
      <c r="B22" t="s">
        <v>24</v>
      </c>
      <c r="C22" t="s">
        <v>62</v>
      </c>
      <c r="D22" t="s">
        <v>26</v>
      </c>
      <c r="E22" t="s">
        <v>63</v>
      </c>
      <c r="F22" t="s">
        <v>28</v>
      </c>
      <c r="G22">
        <v>-5</v>
      </c>
      <c r="H22">
        <v>7</v>
      </c>
      <c r="I22">
        <v>49</v>
      </c>
      <c r="J22">
        <v>45</v>
      </c>
      <c r="K22">
        <v>2</v>
      </c>
      <c r="L22">
        <v>2</v>
      </c>
      <c r="M22">
        <v>72</v>
      </c>
      <c r="N22" t="s">
        <v>29</v>
      </c>
      <c r="O22" t="s">
        <v>30</v>
      </c>
      <c r="P22" t="s">
        <v>31</v>
      </c>
      <c r="Q22" t="s">
        <v>32</v>
      </c>
      <c r="R22" t="s">
        <v>33</v>
      </c>
      <c r="S22">
        <v>69</v>
      </c>
      <c r="T22">
        <v>88</v>
      </c>
      <c r="U22">
        <f t="shared" si="0"/>
        <v>-6.13083891082504</v>
      </c>
      <c r="V22">
        <f t="shared" si="1"/>
        <v>-737.411463895242</v>
      </c>
      <c r="W22">
        <f t="shared" si="2"/>
        <v>-6130.83891082504</v>
      </c>
      <c r="X22">
        <f t="shared" si="3"/>
        <v>-2.75153531304195</v>
      </c>
      <c r="Y22">
        <v>-5</v>
      </c>
    </row>
    <row r="23" spans="1:25">
      <c r="A23" s="1">
        <v>24</v>
      </c>
      <c r="B23" t="s">
        <v>24</v>
      </c>
      <c r="C23" t="s">
        <v>64</v>
      </c>
      <c r="D23" t="s">
        <v>26</v>
      </c>
      <c r="E23" t="s">
        <v>65</v>
      </c>
      <c r="F23" t="s">
        <v>28</v>
      </c>
      <c r="G23">
        <v>-5</v>
      </c>
      <c r="H23">
        <v>7</v>
      </c>
      <c r="I23">
        <v>49</v>
      </c>
      <c r="J23">
        <v>45</v>
      </c>
      <c r="K23">
        <v>2</v>
      </c>
      <c r="L23">
        <v>2</v>
      </c>
      <c r="M23">
        <v>72</v>
      </c>
      <c r="N23" t="s">
        <v>29</v>
      </c>
      <c r="O23" t="s">
        <v>30</v>
      </c>
      <c r="P23" t="s">
        <v>31</v>
      </c>
      <c r="Q23" t="s">
        <v>32</v>
      </c>
      <c r="R23" t="s">
        <v>33</v>
      </c>
      <c r="S23">
        <v>65</v>
      </c>
      <c r="T23">
        <v>91</v>
      </c>
      <c r="U23">
        <f t="shared" si="0"/>
        <v>-6.8071132068081</v>
      </c>
      <c r="V23">
        <f t="shared" si="1"/>
        <v>-818.75309199039</v>
      </c>
      <c r="W23">
        <f t="shared" si="2"/>
        <v>-6807.1132068081</v>
      </c>
      <c r="X23">
        <f t="shared" si="3"/>
        <v>-3.05504885071041</v>
      </c>
      <c r="Y23">
        <v>-5</v>
      </c>
    </row>
    <row r="24" spans="1:25">
      <c r="A24" s="1">
        <v>25</v>
      </c>
      <c r="B24" t="s">
        <v>24</v>
      </c>
      <c r="C24" t="s">
        <v>66</v>
      </c>
      <c r="D24" t="s">
        <v>26</v>
      </c>
      <c r="E24" t="s">
        <v>67</v>
      </c>
      <c r="F24" t="s">
        <v>28</v>
      </c>
      <c r="G24">
        <v>-5</v>
      </c>
      <c r="H24">
        <v>7</v>
      </c>
      <c r="I24">
        <v>49</v>
      </c>
      <c r="J24">
        <v>45</v>
      </c>
      <c r="K24">
        <v>2</v>
      </c>
      <c r="L24">
        <v>2</v>
      </c>
      <c r="M24">
        <v>72</v>
      </c>
      <c r="N24" t="s">
        <v>29</v>
      </c>
      <c r="O24" t="s">
        <v>30</v>
      </c>
      <c r="P24" t="s">
        <v>31</v>
      </c>
      <c r="Q24" t="s">
        <v>32</v>
      </c>
      <c r="R24" t="s">
        <v>33</v>
      </c>
      <c r="S24">
        <v>61</v>
      </c>
      <c r="T24">
        <v>88</v>
      </c>
      <c r="U24">
        <f t="shared" si="0"/>
        <v>-6.13083891082504</v>
      </c>
      <c r="V24">
        <f t="shared" si="1"/>
        <v>-737.411463895242</v>
      </c>
      <c r="W24">
        <f t="shared" si="2"/>
        <v>-6130.83891082504</v>
      </c>
      <c r="X24">
        <f t="shared" si="3"/>
        <v>-2.75153531304195</v>
      </c>
      <c r="Y24">
        <v>-5</v>
      </c>
    </row>
    <row r="25" spans="1:25">
      <c r="A25" s="1">
        <v>26</v>
      </c>
      <c r="B25" t="s">
        <v>24</v>
      </c>
      <c r="C25" t="s">
        <v>68</v>
      </c>
      <c r="D25" t="s">
        <v>26</v>
      </c>
      <c r="E25" t="s">
        <v>69</v>
      </c>
      <c r="F25" t="s">
        <v>28</v>
      </c>
      <c r="G25">
        <v>-5</v>
      </c>
      <c r="H25">
        <v>7</v>
      </c>
      <c r="I25">
        <v>49</v>
      </c>
      <c r="J25">
        <v>45</v>
      </c>
      <c r="K25">
        <v>3</v>
      </c>
      <c r="L25">
        <v>2</v>
      </c>
      <c r="M25">
        <v>72</v>
      </c>
      <c r="N25" t="s">
        <v>29</v>
      </c>
      <c r="O25" t="s">
        <v>30</v>
      </c>
      <c r="P25" t="s">
        <v>31</v>
      </c>
      <c r="Q25" t="s">
        <v>32</v>
      </c>
      <c r="R25" t="s">
        <v>33</v>
      </c>
      <c r="S25">
        <v>63</v>
      </c>
      <c r="T25">
        <v>91</v>
      </c>
      <c r="U25">
        <f t="shared" si="0"/>
        <v>-6.8071132068081</v>
      </c>
      <c r="V25">
        <f t="shared" si="1"/>
        <v>-818.75309199039</v>
      </c>
      <c r="W25">
        <f t="shared" si="2"/>
        <v>-6807.1132068081</v>
      </c>
      <c r="X25">
        <f t="shared" si="3"/>
        <v>-3.05504885071041</v>
      </c>
      <c r="Y25">
        <v>-5</v>
      </c>
    </row>
    <row r="26" spans="1:25">
      <c r="A26" s="1">
        <v>27</v>
      </c>
      <c r="B26" t="s">
        <v>24</v>
      </c>
      <c r="C26" t="s">
        <v>70</v>
      </c>
      <c r="D26" t="s">
        <v>26</v>
      </c>
      <c r="E26" t="s">
        <v>71</v>
      </c>
      <c r="F26" t="s">
        <v>28</v>
      </c>
      <c r="G26">
        <v>-5</v>
      </c>
      <c r="H26">
        <v>7</v>
      </c>
      <c r="I26">
        <v>49</v>
      </c>
      <c r="J26">
        <v>45</v>
      </c>
      <c r="K26">
        <v>4</v>
      </c>
      <c r="L26">
        <v>2</v>
      </c>
      <c r="M26">
        <v>72</v>
      </c>
      <c r="N26" t="s">
        <v>29</v>
      </c>
      <c r="O26" t="s">
        <v>30</v>
      </c>
      <c r="P26" t="s">
        <v>31</v>
      </c>
      <c r="Q26" t="s">
        <v>32</v>
      </c>
      <c r="R26" t="s">
        <v>33</v>
      </c>
      <c r="S26">
        <v>76</v>
      </c>
      <c r="T26">
        <v>91</v>
      </c>
      <c r="U26">
        <f t="shared" si="0"/>
        <v>-6.8071132068081</v>
      </c>
      <c r="V26">
        <f t="shared" si="1"/>
        <v>-818.75309199039</v>
      </c>
      <c r="W26">
        <f t="shared" si="2"/>
        <v>-6807.1132068081</v>
      </c>
      <c r="X26">
        <f t="shared" si="3"/>
        <v>-3.05504885071041</v>
      </c>
      <c r="Y26">
        <v>-5</v>
      </c>
    </row>
    <row r="27" spans="1:25">
      <c r="A27" s="1">
        <v>28</v>
      </c>
      <c r="B27" t="s">
        <v>24</v>
      </c>
      <c r="C27" t="s">
        <v>72</v>
      </c>
      <c r="D27" t="s">
        <v>26</v>
      </c>
      <c r="E27" t="s">
        <v>73</v>
      </c>
      <c r="F27" t="s">
        <v>28</v>
      </c>
      <c r="G27">
        <v>-5</v>
      </c>
      <c r="H27">
        <v>7</v>
      </c>
      <c r="I27">
        <v>49</v>
      </c>
      <c r="J27">
        <v>45</v>
      </c>
      <c r="K27">
        <v>5</v>
      </c>
      <c r="L27">
        <v>2</v>
      </c>
      <c r="M27">
        <v>72</v>
      </c>
      <c r="N27" t="s">
        <v>29</v>
      </c>
      <c r="O27" t="s">
        <v>30</v>
      </c>
      <c r="P27" t="s">
        <v>31</v>
      </c>
      <c r="Q27" t="s">
        <v>32</v>
      </c>
      <c r="R27" t="s">
        <v>33</v>
      </c>
      <c r="S27">
        <v>75</v>
      </c>
      <c r="T27">
        <v>92</v>
      </c>
      <c r="U27">
        <f t="shared" si="0"/>
        <v>-7.08118699819744</v>
      </c>
      <c r="V27">
        <f t="shared" si="1"/>
        <v>-851.71842653325</v>
      </c>
      <c r="W27">
        <f t="shared" si="2"/>
        <v>-7081.18699819744</v>
      </c>
      <c r="X27">
        <f t="shared" si="3"/>
        <v>-3.17805383034795</v>
      </c>
      <c r="Y27">
        <v>-5</v>
      </c>
    </row>
    <row r="28" spans="1:25">
      <c r="A28" s="1">
        <v>29</v>
      </c>
      <c r="B28" t="s">
        <v>24</v>
      </c>
      <c r="C28" t="s">
        <v>74</v>
      </c>
      <c r="D28" t="s">
        <v>26</v>
      </c>
      <c r="E28" t="s">
        <v>75</v>
      </c>
      <c r="F28" t="s">
        <v>28</v>
      </c>
      <c r="G28">
        <v>-5</v>
      </c>
      <c r="H28">
        <v>7</v>
      </c>
      <c r="I28">
        <v>49</v>
      </c>
      <c r="J28">
        <v>45</v>
      </c>
      <c r="K28">
        <v>6</v>
      </c>
      <c r="L28">
        <v>16</v>
      </c>
      <c r="M28">
        <v>72</v>
      </c>
      <c r="N28" t="s">
        <v>29</v>
      </c>
      <c r="O28" t="s">
        <v>30</v>
      </c>
      <c r="P28" t="s">
        <v>31</v>
      </c>
      <c r="Q28" t="s">
        <v>76</v>
      </c>
      <c r="R28" t="s">
        <v>33</v>
      </c>
      <c r="S28">
        <v>66</v>
      </c>
      <c r="T28">
        <v>88</v>
      </c>
      <c r="U28">
        <f t="shared" si="0"/>
        <v>-6.13083891082504</v>
      </c>
      <c r="V28">
        <f t="shared" si="1"/>
        <v>-737.411463895242</v>
      </c>
      <c r="W28">
        <f t="shared" si="2"/>
        <v>-6130.83891082504</v>
      </c>
      <c r="X28">
        <f t="shared" si="3"/>
        <v>-2.75153531304195</v>
      </c>
      <c r="Y28">
        <v>-5</v>
      </c>
    </row>
    <row r="29" spans="1:25">
      <c r="A29" s="1">
        <v>30</v>
      </c>
      <c r="B29" t="s">
        <v>24</v>
      </c>
      <c r="C29" t="s">
        <v>77</v>
      </c>
      <c r="D29" t="s">
        <v>26</v>
      </c>
      <c r="E29" t="s">
        <v>78</v>
      </c>
      <c r="F29" t="s">
        <v>28</v>
      </c>
      <c r="G29">
        <v>-5</v>
      </c>
      <c r="H29">
        <v>7</v>
      </c>
      <c r="I29">
        <v>49</v>
      </c>
      <c r="J29">
        <v>45</v>
      </c>
      <c r="K29">
        <v>6</v>
      </c>
      <c r="L29">
        <v>16</v>
      </c>
      <c r="M29">
        <v>72</v>
      </c>
      <c r="N29" t="s">
        <v>29</v>
      </c>
      <c r="O29" t="s">
        <v>30</v>
      </c>
      <c r="P29" t="s">
        <v>31</v>
      </c>
      <c r="Q29" t="s">
        <v>76</v>
      </c>
      <c r="R29" t="s">
        <v>33</v>
      </c>
      <c r="S29">
        <v>66</v>
      </c>
      <c r="T29">
        <v>90</v>
      </c>
      <c r="U29">
        <f t="shared" si="0"/>
        <v>-6.56065760030766</v>
      </c>
      <c r="V29">
        <f t="shared" si="1"/>
        <v>-789.109646416606</v>
      </c>
      <c r="W29">
        <f t="shared" si="2"/>
        <v>-6560.65760030766</v>
      </c>
      <c r="X29">
        <f t="shared" si="3"/>
        <v>-2.94443897916644</v>
      </c>
      <c r="Y29">
        <v>-5</v>
      </c>
    </row>
    <row r="30" spans="1:25">
      <c r="A30" s="1">
        <v>31</v>
      </c>
      <c r="B30" t="s">
        <v>24</v>
      </c>
      <c r="C30" t="s">
        <v>79</v>
      </c>
      <c r="D30" t="s">
        <v>26</v>
      </c>
      <c r="E30" t="s">
        <v>80</v>
      </c>
      <c r="F30" t="s">
        <v>28</v>
      </c>
      <c r="G30">
        <v>-5</v>
      </c>
      <c r="H30">
        <v>7</v>
      </c>
      <c r="I30">
        <v>49</v>
      </c>
      <c r="J30">
        <v>45</v>
      </c>
      <c r="K30">
        <v>6</v>
      </c>
      <c r="L30">
        <v>16</v>
      </c>
      <c r="M30">
        <v>72</v>
      </c>
      <c r="N30" t="s">
        <v>29</v>
      </c>
      <c r="O30" t="s">
        <v>30</v>
      </c>
      <c r="P30" t="s">
        <v>31</v>
      </c>
      <c r="Q30" t="s">
        <v>76</v>
      </c>
      <c r="R30" t="s">
        <v>33</v>
      </c>
      <c r="S30">
        <v>62</v>
      </c>
      <c r="T30">
        <v>90</v>
      </c>
      <c r="U30">
        <f t="shared" si="0"/>
        <v>-6.56065760030766</v>
      </c>
      <c r="V30">
        <f t="shared" si="1"/>
        <v>-789.109646416606</v>
      </c>
      <c r="W30">
        <f t="shared" si="2"/>
        <v>-6560.65760030766</v>
      </c>
      <c r="X30">
        <f t="shared" si="3"/>
        <v>-2.94443897916644</v>
      </c>
      <c r="Y30">
        <v>-5</v>
      </c>
    </row>
    <row r="31" spans="1:25">
      <c r="A31" s="1">
        <v>32</v>
      </c>
      <c r="B31" t="s">
        <v>24</v>
      </c>
      <c r="C31" t="s">
        <v>81</v>
      </c>
      <c r="D31" t="s">
        <v>26</v>
      </c>
      <c r="E31" t="s">
        <v>82</v>
      </c>
      <c r="F31" t="s">
        <v>28</v>
      </c>
      <c r="G31">
        <v>-5</v>
      </c>
      <c r="H31">
        <v>7</v>
      </c>
      <c r="I31">
        <v>49</v>
      </c>
      <c r="J31">
        <v>45</v>
      </c>
      <c r="K31">
        <v>6</v>
      </c>
      <c r="L31">
        <v>16</v>
      </c>
      <c r="M31">
        <v>72</v>
      </c>
      <c r="N31" t="s">
        <v>29</v>
      </c>
      <c r="O31" t="s">
        <v>30</v>
      </c>
      <c r="P31" t="s">
        <v>31</v>
      </c>
      <c r="Q31" t="s">
        <v>76</v>
      </c>
      <c r="R31" t="s">
        <v>33</v>
      </c>
      <c r="S31">
        <v>75</v>
      </c>
      <c r="T31">
        <v>90</v>
      </c>
      <c r="U31">
        <f t="shared" si="0"/>
        <v>-6.56065760030766</v>
      </c>
      <c r="V31">
        <f t="shared" si="1"/>
        <v>-789.109646416606</v>
      </c>
      <c r="W31">
        <f t="shared" si="2"/>
        <v>-6560.65760030766</v>
      </c>
      <c r="X31">
        <f t="shared" si="3"/>
        <v>-2.94443897916644</v>
      </c>
      <c r="Y31">
        <v>-5</v>
      </c>
    </row>
    <row r="32" spans="1:25">
      <c r="A32" s="1">
        <v>33</v>
      </c>
      <c r="B32" t="s">
        <v>24</v>
      </c>
      <c r="C32" t="s">
        <v>83</v>
      </c>
      <c r="D32" t="s">
        <v>26</v>
      </c>
      <c r="E32" t="s">
        <v>84</v>
      </c>
      <c r="F32" t="s">
        <v>28</v>
      </c>
      <c r="G32">
        <v>-5</v>
      </c>
      <c r="H32">
        <v>7</v>
      </c>
      <c r="I32">
        <v>49</v>
      </c>
      <c r="J32">
        <v>45</v>
      </c>
      <c r="K32">
        <v>6</v>
      </c>
      <c r="L32">
        <v>16</v>
      </c>
      <c r="M32">
        <v>72</v>
      </c>
      <c r="N32" t="s">
        <v>29</v>
      </c>
      <c r="O32" t="s">
        <v>30</v>
      </c>
      <c r="P32" t="s">
        <v>31</v>
      </c>
      <c r="Q32" t="s">
        <v>76</v>
      </c>
      <c r="R32" t="s">
        <v>33</v>
      </c>
      <c r="S32">
        <v>72</v>
      </c>
      <c r="T32">
        <v>90</v>
      </c>
      <c r="U32">
        <f t="shared" si="0"/>
        <v>-6.56065760030766</v>
      </c>
      <c r="V32">
        <f t="shared" si="1"/>
        <v>-789.109646416606</v>
      </c>
      <c r="W32">
        <f t="shared" si="2"/>
        <v>-6560.65760030766</v>
      </c>
      <c r="X32">
        <f t="shared" si="3"/>
        <v>-2.94443897916644</v>
      </c>
      <c r="Y32">
        <v>-5</v>
      </c>
    </row>
    <row r="33" spans="1:25">
      <c r="A33" s="1">
        <v>34</v>
      </c>
      <c r="B33" t="s">
        <v>24</v>
      </c>
      <c r="C33" t="s">
        <v>85</v>
      </c>
      <c r="D33" t="s">
        <v>26</v>
      </c>
      <c r="E33" t="s">
        <v>86</v>
      </c>
      <c r="F33" t="s">
        <v>28</v>
      </c>
      <c r="G33">
        <v>-5</v>
      </c>
      <c r="H33">
        <v>7</v>
      </c>
      <c r="I33">
        <v>49</v>
      </c>
      <c r="J33">
        <v>45</v>
      </c>
      <c r="K33">
        <v>6</v>
      </c>
      <c r="L33">
        <v>16</v>
      </c>
      <c r="M33">
        <v>72</v>
      </c>
      <c r="N33" t="s">
        <v>29</v>
      </c>
      <c r="O33" t="s">
        <v>30</v>
      </c>
      <c r="P33" t="s">
        <v>31</v>
      </c>
      <c r="Q33" t="s">
        <v>76</v>
      </c>
      <c r="R33" t="s">
        <v>33</v>
      </c>
      <c r="S33">
        <v>62</v>
      </c>
      <c r="T33">
        <v>90</v>
      </c>
      <c r="U33">
        <f t="shared" si="0"/>
        <v>-6.56065760030766</v>
      </c>
      <c r="V33">
        <f t="shared" si="1"/>
        <v>-789.109646416606</v>
      </c>
      <c r="W33">
        <f t="shared" si="2"/>
        <v>-6560.65760030766</v>
      </c>
      <c r="X33">
        <f t="shared" si="3"/>
        <v>-2.94443897916644</v>
      </c>
      <c r="Y33">
        <v>-5</v>
      </c>
    </row>
    <row r="34" spans="1:25">
      <c r="A34" s="1">
        <v>35</v>
      </c>
      <c r="B34" t="s">
        <v>24</v>
      </c>
      <c r="C34" t="s">
        <v>87</v>
      </c>
      <c r="D34" t="s">
        <v>26</v>
      </c>
      <c r="E34" t="s">
        <v>88</v>
      </c>
      <c r="F34" t="s">
        <v>28</v>
      </c>
      <c r="G34">
        <v>-5</v>
      </c>
      <c r="H34">
        <v>7</v>
      </c>
      <c r="I34">
        <v>49</v>
      </c>
      <c r="J34">
        <v>45</v>
      </c>
      <c r="K34">
        <v>6</v>
      </c>
      <c r="L34">
        <v>16</v>
      </c>
      <c r="M34">
        <v>72</v>
      </c>
      <c r="N34" t="s">
        <v>29</v>
      </c>
      <c r="O34" t="s">
        <v>30</v>
      </c>
      <c r="P34" t="s">
        <v>31</v>
      </c>
      <c r="Q34" t="s">
        <v>76</v>
      </c>
      <c r="R34" t="s">
        <v>33</v>
      </c>
      <c r="S34">
        <v>68</v>
      </c>
      <c r="T34">
        <v>90</v>
      </c>
      <c r="U34">
        <f t="shared" si="0"/>
        <v>-6.56065760030766</v>
      </c>
      <c r="V34">
        <f t="shared" si="1"/>
        <v>-789.109646416606</v>
      </c>
      <c r="W34">
        <f t="shared" si="2"/>
        <v>-6560.65760030766</v>
      </c>
      <c r="X34">
        <f t="shared" si="3"/>
        <v>-2.94443897916644</v>
      </c>
      <c r="Y34">
        <v>-5</v>
      </c>
    </row>
    <row r="35" spans="1:25">
      <c r="A35" s="1">
        <v>36</v>
      </c>
      <c r="B35" t="s">
        <v>24</v>
      </c>
      <c r="C35" t="s">
        <v>89</v>
      </c>
      <c r="D35" t="s">
        <v>26</v>
      </c>
      <c r="E35" t="s">
        <v>90</v>
      </c>
      <c r="F35" t="s">
        <v>28</v>
      </c>
      <c r="G35">
        <v>-5</v>
      </c>
      <c r="H35">
        <v>7</v>
      </c>
      <c r="I35">
        <v>49</v>
      </c>
      <c r="J35">
        <v>45</v>
      </c>
      <c r="K35">
        <v>6</v>
      </c>
      <c r="L35">
        <v>16</v>
      </c>
      <c r="M35">
        <v>72</v>
      </c>
      <c r="N35" t="s">
        <v>29</v>
      </c>
      <c r="O35" t="s">
        <v>30</v>
      </c>
      <c r="P35" t="s">
        <v>31</v>
      </c>
      <c r="Q35" t="s">
        <v>76</v>
      </c>
      <c r="R35" t="s">
        <v>33</v>
      </c>
      <c r="S35">
        <v>64</v>
      </c>
      <c r="T35">
        <v>90</v>
      </c>
      <c r="U35">
        <f t="shared" si="0"/>
        <v>-6.56065760030766</v>
      </c>
      <c r="V35">
        <f t="shared" si="1"/>
        <v>-789.109646416606</v>
      </c>
      <c r="W35">
        <f t="shared" si="2"/>
        <v>-6560.65760030766</v>
      </c>
      <c r="X35">
        <f t="shared" si="3"/>
        <v>-2.94443897916644</v>
      </c>
      <c r="Y35">
        <v>-5</v>
      </c>
    </row>
    <row r="36" spans="1:25">
      <c r="A36" s="1">
        <v>37</v>
      </c>
      <c r="B36" t="s">
        <v>24</v>
      </c>
      <c r="C36" t="s">
        <v>91</v>
      </c>
      <c r="D36" t="s">
        <v>26</v>
      </c>
      <c r="E36" t="s">
        <v>92</v>
      </c>
      <c r="F36" t="s">
        <v>28</v>
      </c>
      <c r="G36">
        <v>-5</v>
      </c>
      <c r="H36">
        <v>7</v>
      </c>
      <c r="I36">
        <v>49</v>
      </c>
      <c r="J36">
        <v>45</v>
      </c>
      <c r="K36">
        <v>6</v>
      </c>
      <c r="L36">
        <v>16</v>
      </c>
      <c r="M36">
        <v>72</v>
      </c>
      <c r="N36" t="s">
        <v>29</v>
      </c>
      <c r="O36" t="s">
        <v>30</v>
      </c>
      <c r="P36" t="s">
        <v>31</v>
      </c>
      <c r="Q36" t="s">
        <v>76</v>
      </c>
      <c r="R36" t="s">
        <v>33</v>
      </c>
      <c r="S36">
        <v>70</v>
      </c>
      <c r="T36">
        <v>91</v>
      </c>
      <c r="U36">
        <f t="shared" si="0"/>
        <v>-6.8071132068081</v>
      </c>
      <c r="V36">
        <f t="shared" si="1"/>
        <v>-818.75309199039</v>
      </c>
      <c r="W36">
        <f t="shared" si="2"/>
        <v>-6807.1132068081</v>
      </c>
      <c r="X36">
        <f t="shared" si="3"/>
        <v>-3.05504885071041</v>
      </c>
      <c r="Y36">
        <v>-5</v>
      </c>
    </row>
    <row r="37" spans="1:25">
      <c r="A37" s="1">
        <v>38</v>
      </c>
      <c r="B37" t="s">
        <v>24</v>
      </c>
      <c r="C37" t="s">
        <v>93</v>
      </c>
      <c r="D37" t="s">
        <v>26</v>
      </c>
      <c r="E37" t="s">
        <v>94</v>
      </c>
      <c r="F37" t="s">
        <v>28</v>
      </c>
      <c r="G37">
        <v>-5</v>
      </c>
      <c r="H37">
        <v>7</v>
      </c>
      <c r="I37">
        <v>49</v>
      </c>
      <c r="J37">
        <v>45</v>
      </c>
      <c r="K37">
        <v>6</v>
      </c>
      <c r="L37">
        <v>16</v>
      </c>
      <c r="M37">
        <v>72</v>
      </c>
      <c r="N37" t="s">
        <v>29</v>
      </c>
      <c r="O37" t="s">
        <v>30</v>
      </c>
      <c r="P37" t="s">
        <v>31</v>
      </c>
      <c r="Q37" t="s">
        <v>76</v>
      </c>
      <c r="R37" t="s">
        <v>33</v>
      </c>
      <c r="S37">
        <v>60</v>
      </c>
      <c r="T37">
        <v>90</v>
      </c>
      <c r="U37">
        <f t="shared" si="0"/>
        <v>-6.56065760030766</v>
      </c>
      <c r="V37">
        <f t="shared" si="1"/>
        <v>-789.109646416606</v>
      </c>
      <c r="W37">
        <f t="shared" si="2"/>
        <v>-6560.65760030766</v>
      </c>
      <c r="X37">
        <f t="shared" si="3"/>
        <v>-2.94443897916644</v>
      </c>
      <c r="Y37">
        <v>-5</v>
      </c>
    </row>
    <row r="38" spans="1:25">
      <c r="A38" s="1">
        <v>39</v>
      </c>
      <c r="B38" t="s">
        <v>24</v>
      </c>
      <c r="C38" t="s">
        <v>95</v>
      </c>
      <c r="D38" t="s">
        <v>26</v>
      </c>
      <c r="E38" t="s">
        <v>96</v>
      </c>
      <c r="F38" t="s">
        <v>28</v>
      </c>
      <c r="G38">
        <v>-5</v>
      </c>
      <c r="H38">
        <v>7</v>
      </c>
      <c r="I38">
        <v>49</v>
      </c>
      <c r="J38">
        <v>45</v>
      </c>
      <c r="K38">
        <v>6</v>
      </c>
      <c r="L38">
        <v>16</v>
      </c>
      <c r="M38">
        <v>72</v>
      </c>
      <c r="N38" t="s">
        <v>29</v>
      </c>
      <c r="O38" t="s">
        <v>30</v>
      </c>
      <c r="P38" t="s">
        <v>31</v>
      </c>
      <c r="Q38" t="s">
        <v>76</v>
      </c>
      <c r="R38" t="s">
        <v>33</v>
      </c>
      <c r="S38">
        <v>71</v>
      </c>
      <c r="T38">
        <v>88</v>
      </c>
      <c r="U38">
        <f t="shared" si="0"/>
        <v>-6.13083891082504</v>
      </c>
      <c r="V38">
        <f t="shared" si="1"/>
        <v>-737.411463895242</v>
      </c>
      <c r="W38">
        <f t="shared" si="2"/>
        <v>-6130.83891082504</v>
      </c>
      <c r="X38">
        <f t="shared" si="3"/>
        <v>-2.75153531304195</v>
      </c>
      <c r="Y38">
        <v>-5</v>
      </c>
    </row>
    <row r="39" spans="1:25">
      <c r="A39" s="1">
        <v>40</v>
      </c>
      <c r="B39" t="s">
        <v>24</v>
      </c>
      <c r="C39" t="s">
        <v>97</v>
      </c>
      <c r="D39" t="s">
        <v>26</v>
      </c>
      <c r="E39" t="s">
        <v>98</v>
      </c>
      <c r="F39" t="s">
        <v>28</v>
      </c>
      <c r="G39">
        <v>-5</v>
      </c>
      <c r="H39">
        <v>7</v>
      </c>
      <c r="I39">
        <v>49</v>
      </c>
      <c r="J39">
        <v>45</v>
      </c>
      <c r="K39">
        <v>6</v>
      </c>
      <c r="L39">
        <v>16</v>
      </c>
      <c r="M39">
        <v>72</v>
      </c>
      <c r="N39" t="s">
        <v>29</v>
      </c>
      <c r="O39" t="s">
        <v>30</v>
      </c>
      <c r="P39" t="s">
        <v>31</v>
      </c>
      <c r="Q39" t="s">
        <v>76</v>
      </c>
      <c r="R39" t="s">
        <v>33</v>
      </c>
      <c r="S39">
        <v>71</v>
      </c>
      <c r="T39">
        <v>14</v>
      </c>
      <c r="U39">
        <f t="shared" si="0"/>
        <v>-0.628007208345246</v>
      </c>
      <c r="V39">
        <f t="shared" si="1"/>
        <v>-75.5361087737847</v>
      </c>
      <c r="W39">
        <f t="shared" si="2"/>
        <v>-628.007208345246</v>
      </c>
      <c r="X39">
        <f t="shared" si="3"/>
        <v>-0.281851152140988</v>
      </c>
      <c r="Y39">
        <v>-5</v>
      </c>
    </row>
    <row r="40" spans="1:25">
      <c r="A40" s="1">
        <v>41</v>
      </c>
      <c r="B40" t="s">
        <v>24</v>
      </c>
      <c r="C40" t="s">
        <v>99</v>
      </c>
      <c r="D40" t="s">
        <v>100</v>
      </c>
      <c r="E40" t="s">
        <v>101</v>
      </c>
      <c r="F40" t="s">
        <v>28</v>
      </c>
      <c r="G40">
        <v>-5</v>
      </c>
      <c r="H40">
        <v>7</v>
      </c>
      <c r="I40">
        <v>49</v>
      </c>
      <c r="J40">
        <v>45</v>
      </c>
      <c r="K40">
        <v>6</v>
      </c>
      <c r="L40">
        <v>16</v>
      </c>
      <c r="M40">
        <v>72</v>
      </c>
      <c r="N40" t="s">
        <v>29</v>
      </c>
      <c r="O40" t="s">
        <v>30</v>
      </c>
      <c r="P40" t="s">
        <v>31</v>
      </c>
      <c r="Q40" t="s">
        <v>76</v>
      </c>
      <c r="R40" t="s">
        <v>33</v>
      </c>
      <c r="S40">
        <v>81</v>
      </c>
      <c r="T40">
        <v>94</v>
      </c>
      <c r="U40">
        <f t="shared" si="0"/>
        <v>-7.74527624795385</v>
      </c>
      <c r="V40">
        <f t="shared" si="1"/>
        <v>-931.594448875853</v>
      </c>
      <c r="W40">
        <f t="shared" si="2"/>
        <v>-7745.27624795385</v>
      </c>
      <c r="X40">
        <f t="shared" si="3"/>
        <v>-3.47609868983527</v>
      </c>
      <c r="Y40">
        <v>-5</v>
      </c>
    </row>
    <row r="41" spans="1:25">
      <c r="A41" s="1">
        <v>42</v>
      </c>
      <c r="B41" t="s">
        <v>24</v>
      </c>
      <c r="C41" t="s">
        <v>102</v>
      </c>
      <c r="D41" t="s">
        <v>103</v>
      </c>
      <c r="E41" t="s">
        <v>101</v>
      </c>
      <c r="F41" t="s">
        <v>28</v>
      </c>
      <c r="G41">
        <v>-5</v>
      </c>
      <c r="H41">
        <v>7</v>
      </c>
      <c r="I41">
        <v>49</v>
      </c>
      <c r="J41">
        <v>45</v>
      </c>
      <c r="K41">
        <v>6</v>
      </c>
      <c r="L41">
        <v>16</v>
      </c>
      <c r="M41">
        <v>72</v>
      </c>
      <c r="N41" t="s">
        <v>29</v>
      </c>
      <c r="O41" t="s">
        <v>30</v>
      </c>
      <c r="P41" t="s">
        <v>31</v>
      </c>
      <c r="Q41" t="s">
        <v>76</v>
      </c>
      <c r="R41" t="s">
        <v>33</v>
      </c>
      <c r="S41">
        <v>42</v>
      </c>
      <c r="T41">
        <v>87</v>
      </c>
      <c r="U41">
        <f t="shared" si="0"/>
        <v>-5.94060808613514</v>
      </c>
      <c r="V41">
        <f t="shared" si="1"/>
        <v>-714.530681517337</v>
      </c>
      <c r="W41">
        <f t="shared" si="2"/>
        <v>-5940.60808613514</v>
      </c>
      <c r="X41">
        <f t="shared" si="3"/>
        <v>-2.66615925939305</v>
      </c>
      <c r="Y41">
        <v>-5</v>
      </c>
    </row>
    <row r="42" spans="1:25">
      <c r="A42" s="1">
        <v>43</v>
      </c>
      <c r="B42" t="s">
        <v>24</v>
      </c>
      <c r="C42" t="s">
        <v>104</v>
      </c>
      <c r="D42" t="s">
        <v>105</v>
      </c>
      <c r="E42" t="s">
        <v>101</v>
      </c>
      <c r="F42" t="s">
        <v>28</v>
      </c>
      <c r="G42">
        <v>-5</v>
      </c>
      <c r="H42">
        <v>7</v>
      </c>
      <c r="I42">
        <v>49</v>
      </c>
      <c r="J42">
        <v>45</v>
      </c>
      <c r="K42">
        <v>6</v>
      </c>
      <c r="L42">
        <v>16</v>
      </c>
      <c r="M42">
        <v>72</v>
      </c>
      <c r="N42" t="s">
        <v>29</v>
      </c>
      <c r="O42" t="s">
        <v>30</v>
      </c>
      <c r="P42" t="s">
        <v>31</v>
      </c>
      <c r="Q42" t="s">
        <v>76</v>
      </c>
      <c r="R42" t="s">
        <v>33</v>
      </c>
      <c r="S42">
        <v>70</v>
      </c>
      <c r="T42">
        <v>24</v>
      </c>
      <c r="U42">
        <f t="shared" si="0"/>
        <v>-1.09078785734032</v>
      </c>
      <c r="V42">
        <f t="shared" si="1"/>
        <v>-131.198924385413</v>
      </c>
      <c r="W42">
        <f t="shared" si="2"/>
        <v>-1090.78785734032</v>
      </c>
      <c r="X42">
        <f t="shared" si="3"/>
        <v>-0.489548225318706</v>
      </c>
      <c r="Y42">
        <v>-5</v>
      </c>
    </row>
    <row r="43" spans="1:25">
      <c r="A43" s="1">
        <v>44</v>
      </c>
      <c r="B43" t="s">
        <v>24</v>
      </c>
      <c r="C43" t="s">
        <v>106</v>
      </c>
      <c r="D43" t="s">
        <v>107</v>
      </c>
      <c r="E43" t="s">
        <v>101</v>
      </c>
      <c r="F43" t="s">
        <v>28</v>
      </c>
      <c r="G43">
        <v>-5</v>
      </c>
      <c r="H43">
        <v>7</v>
      </c>
      <c r="I43">
        <v>49</v>
      </c>
      <c r="J43">
        <v>45</v>
      </c>
      <c r="K43">
        <v>6</v>
      </c>
      <c r="L43">
        <v>16</v>
      </c>
      <c r="M43">
        <v>72</v>
      </c>
      <c r="N43" t="s">
        <v>29</v>
      </c>
      <c r="O43" t="s">
        <v>30</v>
      </c>
      <c r="P43" t="s">
        <v>31</v>
      </c>
      <c r="Q43" t="s">
        <v>76</v>
      </c>
      <c r="R43" t="s">
        <v>33</v>
      </c>
      <c r="S43">
        <v>64</v>
      </c>
      <c r="T43">
        <v>92</v>
      </c>
      <c r="U43">
        <f t="shared" si="0"/>
        <v>-7.08118699819744</v>
      </c>
      <c r="V43">
        <f t="shared" si="1"/>
        <v>-851.71842653325</v>
      </c>
      <c r="W43">
        <f t="shared" si="2"/>
        <v>-7081.18699819744</v>
      </c>
      <c r="X43">
        <f t="shared" si="3"/>
        <v>-3.17805383034795</v>
      </c>
      <c r="Y43">
        <v>-5</v>
      </c>
    </row>
    <row r="44" spans="1:25">
      <c r="A44" s="1">
        <v>45</v>
      </c>
      <c r="B44" t="s">
        <v>24</v>
      </c>
      <c r="C44" t="s">
        <v>108</v>
      </c>
      <c r="D44" t="s">
        <v>109</v>
      </c>
      <c r="E44" t="s">
        <v>101</v>
      </c>
      <c r="F44" t="s">
        <v>28</v>
      </c>
      <c r="G44">
        <v>-5</v>
      </c>
      <c r="H44">
        <v>7</v>
      </c>
      <c r="I44">
        <v>49</v>
      </c>
      <c r="J44">
        <v>45</v>
      </c>
      <c r="K44">
        <v>6</v>
      </c>
      <c r="L44">
        <v>16</v>
      </c>
      <c r="M44">
        <v>72</v>
      </c>
      <c r="N44" t="s">
        <v>29</v>
      </c>
      <c r="O44" t="s">
        <v>30</v>
      </c>
      <c r="P44" t="s">
        <v>31</v>
      </c>
      <c r="Q44" t="s">
        <v>76</v>
      </c>
      <c r="R44" t="s">
        <v>33</v>
      </c>
      <c r="S44">
        <v>60</v>
      </c>
      <c r="T44">
        <v>93</v>
      </c>
      <c r="U44">
        <f t="shared" si="0"/>
        <v>-7.39029007935091</v>
      </c>
      <c r="V44">
        <f t="shared" si="1"/>
        <v>-888.897050679686</v>
      </c>
      <c r="W44">
        <f t="shared" si="2"/>
        <v>-7390.29007935091</v>
      </c>
      <c r="X44">
        <f t="shared" si="3"/>
        <v>-3.31678003984957</v>
      </c>
      <c r="Y44">
        <v>-5</v>
      </c>
    </row>
    <row r="45" spans="1:25">
      <c r="A45" s="1">
        <v>46</v>
      </c>
      <c r="B45" t="s">
        <v>24</v>
      </c>
      <c r="C45" t="s">
        <v>110</v>
      </c>
      <c r="D45" t="s">
        <v>111</v>
      </c>
      <c r="E45" t="s">
        <v>101</v>
      </c>
      <c r="F45" t="s">
        <v>28</v>
      </c>
      <c r="G45">
        <v>-5</v>
      </c>
      <c r="H45">
        <v>7</v>
      </c>
      <c r="I45">
        <v>49</v>
      </c>
      <c r="J45">
        <v>45</v>
      </c>
      <c r="K45">
        <v>6</v>
      </c>
      <c r="L45">
        <v>16</v>
      </c>
      <c r="M45">
        <v>72</v>
      </c>
      <c r="N45" t="s">
        <v>29</v>
      </c>
      <c r="O45" t="s">
        <v>30</v>
      </c>
      <c r="P45" t="s">
        <v>31</v>
      </c>
      <c r="Q45" t="s">
        <v>76</v>
      </c>
      <c r="R45" t="s">
        <v>33</v>
      </c>
      <c r="S45">
        <v>75</v>
      </c>
      <c r="T45">
        <v>86</v>
      </c>
      <c r="U45">
        <f t="shared" si="0"/>
        <v>-5.76353703543052</v>
      </c>
      <c r="V45">
        <f t="shared" si="1"/>
        <v>-693.232744218249</v>
      </c>
      <c r="W45">
        <f t="shared" si="2"/>
        <v>-5763.53703543052</v>
      </c>
      <c r="X45">
        <f t="shared" si="3"/>
        <v>-2.58668934409794</v>
      </c>
      <c r="Y45">
        <v>-5</v>
      </c>
    </row>
    <row r="46" spans="1:25">
      <c r="A46" s="1">
        <v>47</v>
      </c>
      <c r="B46" t="s">
        <v>24</v>
      </c>
      <c r="C46" t="s">
        <v>112</v>
      </c>
      <c r="D46" t="s">
        <v>113</v>
      </c>
      <c r="E46" t="s">
        <v>101</v>
      </c>
      <c r="F46" t="s">
        <v>28</v>
      </c>
      <c r="G46">
        <v>-5</v>
      </c>
      <c r="H46">
        <v>7</v>
      </c>
      <c r="I46">
        <v>49</v>
      </c>
      <c r="J46">
        <v>45</v>
      </c>
      <c r="K46">
        <v>6</v>
      </c>
      <c r="L46">
        <v>16</v>
      </c>
      <c r="M46">
        <v>72</v>
      </c>
      <c r="N46" t="s">
        <v>29</v>
      </c>
      <c r="O46" t="s">
        <v>30</v>
      </c>
      <c r="P46" t="s">
        <v>31</v>
      </c>
      <c r="Q46" t="s">
        <v>76</v>
      </c>
      <c r="R46" t="s">
        <v>33</v>
      </c>
      <c r="S46">
        <v>56</v>
      </c>
      <c r="T46">
        <v>62</v>
      </c>
      <c r="U46">
        <f t="shared" si="0"/>
        <v>-3.23084307257404</v>
      </c>
      <c r="V46">
        <f t="shared" si="1"/>
        <v>-388.602727035608</v>
      </c>
      <c r="W46">
        <f t="shared" si="2"/>
        <v>-3230.84307257404</v>
      </c>
      <c r="X46">
        <f t="shared" si="3"/>
        <v>-1.450010175506</v>
      </c>
      <c r="Y46">
        <v>-5</v>
      </c>
    </row>
    <row r="47" spans="1:25">
      <c r="A47" s="1">
        <v>48</v>
      </c>
      <c r="B47" t="s">
        <v>24</v>
      </c>
      <c r="C47" t="s">
        <v>46</v>
      </c>
      <c r="D47" t="s">
        <v>114</v>
      </c>
      <c r="E47" t="s">
        <v>101</v>
      </c>
      <c r="F47" t="s">
        <v>28</v>
      </c>
      <c r="G47">
        <v>-5</v>
      </c>
      <c r="H47">
        <v>7</v>
      </c>
      <c r="I47">
        <v>49</v>
      </c>
      <c r="J47">
        <v>45</v>
      </c>
      <c r="K47">
        <v>6</v>
      </c>
      <c r="L47">
        <v>16</v>
      </c>
      <c r="M47">
        <v>72</v>
      </c>
      <c r="N47" t="s">
        <v>29</v>
      </c>
      <c r="O47" t="s">
        <v>30</v>
      </c>
      <c r="P47" t="s">
        <v>31</v>
      </c>
      <c r="Q47" t="s">
        <v>76</v>
      </c>
      <c r="R47" t="s">
        <v>33</v>
      </c>
      <c r="S47">
        <v>52</v>
      </c>
      <c r="T47">
        <v>91</v>
      </c>
      <c r="U47">
        <f t="shared" si="0"/>
        <v>-6.8071132068081</v>
      </c>
      <c r="V47">
        <f t="shared" si="1"/>
        <v>-818.75309199039</v>
      </c>
      <c r="W47">
        <f t="shared" si="2"/>
        <v>-6807.1132068081</v>
      </c>
      <c r="X47">
        <f t="shared" si="3"/>
        <v>-3.05504885071041</v>
      </c>
      <c r="Y47">
        <v>-5</v>
      </c>
    </row>
    <row r="48" spans="1:25">
      <c r="A48" s="1">
        <v>49</v>
      </c>
      <c r="B48" t="s">
        <v>24</v>
      </c>
      <c r="C48" t="s">
        <v>115</v>
      </c>
      <c r="D48" t="s">
        <v>116</v>
      </c>
      <c r="E48" t="s">
        <v>101</v>
      </c>
      <c r="F48" t="s">
        <v>28</v>
      </c>
      <c r="G48">
        <v>-5</v>
      </c>
      <c r="H48">
        <v>7</v>
      </c>
      <c r="I48">
        <v>49</v>
      </c>
      <c r="J48">
        <v>45</v>
      </c>
      <c r="K48">
        <v>6</v>
      </c>
      <c r="L48">
        <v>16</v>
      </c>
      <c r="M48">
        <v>72</v>
      </c>
      <c r="N48" t="s">
        <v>29</v>
      </c>
      <c r="O48" t="s">
        <v>30</v>
      </c>
      <c r="P48" t="s">
        <v>31</v>
      </c>
      <c r="Q48" t="s">
        <v>76</v>
      </c>
      <c r="R48" t="s">
        <v>33</v>
      </c>
      <c r="S48">
        <v>63</v>
      </c>
      <c r="T48">
        <v>90</v>
      </c>
      <c r="U48">
        <f t="shared" si="0"/>
        <v>-6.56065760030766</v>
      </c>
      <c r="V48">
        <f t="shared" si="1"/>
        <v>-789.109646416606</v>
      </c>
      <c r="W48">
        <f t="shared" si="2"/>
        <v>-6560.65760030766</v>
      </c>
      <c r="X48">
        <f t="shared" si="3"/>
        <v>-2.94443897916644</v>
      </c>
      <c r="Y48">
        <v>-5</v>
      </c>
    </row>
    <row r="49" spans="1:25">
      <c r="A49" s="1">
        <v>50</v>
      </c>
      <c r="B49" t="s">
        <v>117</v>
      </c>
      <c r="C49" t="s">
        <v>118</v>
      </c>
      <c r="D49" t="s">
        <v>119</v>
      </c>
      <c r="E49" t="s">
        <v>120</v>
      </c>
      <c r="F49" t="s">
        <v>28</v>
      </c>
      <c r="G49">
        <v>35</v>
      </c>
      <c r="H49">
        <v>7</v>
      </c>
      <c r="I49">
        <v>0</v>
      </c>
      <c r="J49">
        <v>32</v>
      </c>
      <c r="K49">
        <v>14</v>
      </c>
      <c r="L49">
        <v>20</v>
      </c>
      <c r="M49">
        <v>20</v>
      </c>
      <c r="N49" t="s">
        <v>121</v>
      </c>
      <c r="O49" t="s">
        <v>122</v>
      </c>
      <c r="P49" t="s">
        <v>123</v>
      </c>
      <c r="Q49" t="s">
        <v>124</v>
      </c>
      <c r="R49" t="s">
        <v>125</v>
      </c>
      <c r="S49">
        <v>64</v>
      </c>
      <c r="T49">
        <v>95</v>
      </c>
      <c r="U49">
        <f t="shared" si="0"/>
        <v>-9.38132626998394</v>
      </c>
      <c r="V49">
        <f t="shared" si="1"/>
        <v>-1128.37698700793</v>
      </c>
      <c r="W49">
        <f t="shared" si="2"/>
        <v>-9381.32626998394</v>
      </c>
      <c r="X49">
        <f t="shared" si="3"/>
        <v>-3.66356164612965</v>
      </c>
      <c r="Y49">
        <v>35</v>
      </c>
    </row>
    <row r="50" spans="1:25">
      <c r="A50" s="1">
        <v>51</v>
      </c>
      <c r="B50" t="s">
        <v>126</v>
      </c>
      <c r="C50" t="s">
        <v>118</v>
      </c>
      <c r="D50" t="s">
        <v>119</v>
      </c>
      <c r="E50" t="s">
        <v>120</v>
      </c>
      <c r="F50" t="s">
        <v>28</v>
      </c>
      <c r="G50">
        <v>35</v>
      </c>
      <c r="H50">
        <v>7</v>
      </c>
      <c r="I50">
        <v>0</v>
      </c>
      <c r="J50">
        <v>32</v>
      </c>
      <c r="K50">
        <v>14</v>
      </c>
      <c r="L50">
        <v>20</v>
      </c>
      <c r="M50">
        <v>20</v>
      </c>
      <c r="N50" t="s">
        <v>121</v>
      </c>
      <c r="O50" t="s">
        <v>122</v>
      </c>
      <c r="P50" t="s">
        <v>123</v>
      </c>
      <c r="Q50" t="s">
        <v>124</v>
      </c>
      <c r="R50" t="s">
        <v>125</v>
      </c>
      <c r="S50">
        <v>64</v>
      </c>
      <c r="T50">
        <v>91</v>
      </c>
      <c r="U50">
        <f t="shared" si="0"/>
        <v>-7.82310025260036</v>
      </c>
      <c r="V50">
        <f t="shared" si="1"/>
        <v>-940.955046018807</v>
      </c>
      <c r="W50">
        <f t="shared" si="2"/>
        <v>-7823.10025260036</v>
      </c>
      <c r="X50">
        <f t="shared" si="3"/>
        <v>-3.05504885071041</v>
      </c>
      <c r="Y50">
        <v>35</v>
      </c>
    </row>
    <row r="51" spans="1:25">
      <c r="A51" s="1">
        <v>52</v>
      </c>
      <c r="B51" t="s">
        <v>127</v>
      </c>
      <c r="C51" t="s">
        <v>118</v>
      </c>
      <c r="D51" t="s">
        <v>119</v>
      </c>
      <c r="E51" t="s">
        <v>120</v>
      </c>
      <c r="F51" t="s">
        <v>28</v>
      </c>
      <c r="G51">
        <v>35</v>
      </c>
      <c r="H51">
        <v>7</v>
      </c>
      <c r="I51">
        <v>0</v>
      </c>
      <c r="J51">
        <v>32</v>
      </c>
      <c r="K51">
        <v>14</v>
      </c>
      <c r="L51">
        <v>20</v>
      </c>
      <c r="M51">
        <v>20</v>
      </c>
      <c r="N51" t="s">
        <v>121</v>
      </c>
      <c r="O51" t="s">
        <v>122</v>
      </c>
      <c r="P51" t="s">
        <v>123</v>
      </c>
      <c r="Q51" t="s">
        <v>124</v>
      </c>
      <c r="R51" t="s">
        <v>125</v>
      </c>
      <c r="S51">
        <v>65</v>
      </c>
      <c r="T51">
        <v>73</v>
      </c>
      <c r="U51">
        <f t="shared" si="0"/>
        <v>-4.75640661270992</v>
      </c>
      <c r="V51">
        <f t="shared" si="1"/>
        <v>-572.096056375982</v>
      </c>
      <c r="W51">
        <f t="shared" si="2"/>
        <v>-4756.40661270992</v>
      </c>
      <c r="X51">
        <f t="shared" si="3"/>
        <v>-1.85745472849345</v>
      </c>
      <c r="Y51">
        <v>35</v>
      </c>
    </row>
    <row r="52" spans="1:25">
      <c r="A52" s="1">
        <v>53</v>
      </c>
      <c r="B52" t="s">
        <v>128</v>
      </c>
      <c r="C52" t="s">
        <v>118</v>
      </c>
      <c r="D52" t="s">
        <v>119</v>
      </c>
      <c r="E52" t="s">
        <v>120</v>
      </c>
      <c r="F52" t="s">
        <v>28</v>
      </c>
      <c r="G52">
        <v>35</v>
      </c>
      <c r="H52">
        <v>7</v>
      </c>
      <c r="I52">
        <v>0</v>
      </c>
      <c r="J52">
        <v>32</v>
      </c>
      <c r="K52">
        <v>14</v>
      </c>
      <c r="L52">
        <v>20</v>
      </c>
      <c r="M52">
        <v>20</v>
      </c>
      <c r="N52" t="s">
        <v>121</v>
      </c>
      <c r="O52" t="s">
        <v>122</v>
      </c>
      <c r="P52" t="s">
        <v>123</v>
      </c>
      <c r="Q52" t="s">
        <v>124</v>
      </c>
      <c r="R52" t="s">
        <v>125</v>
      </c>
      <c r="S52">
        <v>53</v>
      </c>
      <c r="T52">
        <v>87</v>
      </c>
      <c r="U52">
        <f t="shared" si="0"/>
        <v>-6.8272660094389</v>
      </c>
      <c r="V52">
        <f t="shared" si="1"/>
        <v>-821.177051893059</v>
      </c>
      <c r="W52">
        <f t="shared" si="2"/>
        <v>-6827.2660094389</v>
      </c>
      <c r="X52">
        <f t="shared" si="3"/>
        <v>-2.66615925939305</v>
      </c>
      <c r="Y52">
        <v>35</v>
      </c>
    </row>
    <row r="53" spans="1:25">
      <c r="A53" s="1">
        <v>54</v>
      </c>
      <c r="B53" t="s">
        <v>129</v>
      </c>
      <c r="C53" t="s">
        <v>118</v>
      </c>
      <c r="D53" t="s">
        <v>119</v>
      </c>
      <c r="E53" t="s">
        <v>120</v>
      </c>
      <c r="F53" t="s">
        <v>28</v>
      </c>
      <c r="G53">
        <v>35</v>
      </c>
      <c r="H53">
        <v>7</v>
      </c>
      <c r="I53">
        <v>0</v>
      </c>
      <c r="J53">
        <v>32</v>
      </c>
      <c r="K53">
        <v>14</v>
      </c>
      <c r="L53">
        <v>20</v>
      </c>
      <c r="M53">
        <v>20</v>
      </c>
      <c r="N53" t="s">
        <v>121</v>
      </c>
      <c r="O53" t="s">
        <v>122</v>
      </c>
      <c r="P53" t="s">
        <v>123</v>
      </c>
      <c r="Q53" t="s">
        <v>124</v>
      </c>
      <c r="R53" t="s">
        <v>125</v>
      </c>
      <c r="S53">
        <v>55</v>
      </c>
      <c r="T53">
        <v>75</v>
      </c>
      <c r="U53">
        <f t="shared" si="0"/>
        <v>-4.98291546960773</v>
      </c>
      <c r="V53">
        <f t="shared" si="1"/>
        <v>-599.340325909036</v>
      </c>
      <c r="W53">
        <f t="shared" si="2"/>
        <v>-4982.91546960773</v>
      </c>
      <c r="X53">
        <f t="shared" si="3"/>
        <v>-1.94591014905531</v>
      </c>
      <c r="Y53">
        <v>35</v>
      </c>
    </row>
    <row r="54" spans="1:25">
      <c r="A54" s="1">
        <v>55</v>
      </c>
      <c r="B54" t="s">
        <v>130</v>
      </c>
      <c r="C54" t="s">
        <v>118</v>
      </c>
      <c r="D54" t="s">
        <v>119</v>
      </c>
      <c r="E54" t="s">
        <v>120</v>
      </c>
      <c r="F54" t="s">
        <v>28</v>
      </c>
      <c r="G54">
        <v>35</v>
      </c>
      <c r="H54">
        <v>7</v>
      </c>
      <c r="I54">
        <v>0</v>
      </c>
      <c r="J54">
        <v>32</v>
      </c>
      <c r="K54">
        <v>14</v>
      </c>
      <c r="L54">
        <v>20</v>
      </c>
      <c r="M54">
        <v>20</v>
      </c>
      <c r="N54" t="s">
        <v>121</v>
      </c>
      <c r="O54" t="s">
        <v>122</v>
      </c>
      <c r="P54" t="s">
        <v>123</v>
      </c>
      <c r="Q54" t="s">
        <v>124</v>
      </c>
      <c r="R54" t="s">
        <v>125</v>
      </c>
      <c r="S54">
        <v>63</v>
      </c>
      <c r="T54">
        <v>73</v>
      </c>
      <c r="U54">
        <f t="shared" si="0"/>
        <v>-4.75640661270992</v>
      </c>
      <c r="V54">
        <f t="shared" si="1"/>
        <v>-572.096056375982</v>
      </c>
      <c r="W54">
        <f t="shared" si="2"/>
        <v>-4756.40661270992</v>
      </c>
      <c r="X54">
        <f t="shared" si="3"/>
        <v>-1.85745472849345</v>
      </c>
      <c r="Y54">
        <v>35</v>
      </c>
    </row>
    <row r="55" spans="1:25">
      <c r="A55" s="1">
        <v>56</v>
      </c>
      <c r="B55" t="s">
        <v>131</v>
      </c>
      <c r="C55" t="s">
        <v>118</v>
      </c>
      <c r="D55" t="s">
        <v>119</v>
      </c>
      <c r="E55" t="s">
        <v>120</v>
      </c>
      <c r="F55" t="s">
        <v>28</v>
      </c>
      <c r="G55">
        <v>35</v>
      </c>
      <c r="H55">
        <v>7</v>
      </c>
      <c r="I55">
        <v>0</v>
      </c>
      <c r="J55">
        <v>32</v>
      </c>
      <c r="K55">
        <v>14</v>
      </c>
      <c r="L55">
        <v>20</v>
      </c>
      <c r="M55">
        <v>20</v>
      </c>
      <c r="N55" t="s">
        <v>121</v>
      </c>
      <c r="O55" t="s">
        <v>122</v>
      </c>
      <c r="P55" t="s">
        <v>123</v>
      </c>
      <c r="Q55" t="s">
        <v>124</v>
      </c>
      <c r="R55" t="s">
        <v>125</v>
      </c>
      <c r="S55">
        <v>51</v>
      </c>
      <c r="T55">
        <v>93</v>
      </c>
      <c r="U55">
        <f t="shared" si="0"/>
        <v>-8.49331844940328</v>
      </c>
      <c r="V55">
        <f t="shared" si="1"/>
        <v>-1021.56825227367</v>
      </c>
      <c r="W55">
        <f t="shared" si="2"/>
        <v>-8493.31844940328</v>
      </c>
      <c r="X55">
        <f t="shared" si="3"/>
        <v>-3.31678003984957</v>
      </c>
      <c r="Y55">
        <v>35</v>
      </c>
    </row>
    <row r="56" spans="1:25">
      <c r="A56" s="1">
        <v>57</v>
      </c>
      <c r="B56" t="s">
        <v>132</v>
      </c>
      <c r="C56" t="s">
        <v>118</v>
      </c>
      <c r="D56" t="s">
        <v>119</v>
      </c>
      <c r="E56" t="s">
        <v>120</v>
      </c>
      <c r="F56" t="s">
        <v>28</v>
      </c>
      <c r="G56">
        <v>35</v>
      </c>
      <c r="H56">
        <v>7</v>
      </c>
      <c r="I56">
        <v>0</v>
      </c>
      <c r="J56">
        <v>32</v>
      </c>
      <c r="K56">
        <v>14</v>
      </c>
      <c r="L56">
        <v>20</v>
      </c>
      <c r="M56">
        <v>20</v>
      </c>
      <c r="N56" t="s">
        <v>121</v>
      </c>
      <c r="O56" t="s">
        <v>122</v>
      </c>
      <c r="P56" t="s">
        <v>123</v>
      </c>
      <c r="Q56" t="s">
        <v>124</v>
      </c>
      <c r="R56" t="s">
        <v>125</v>
      </c>
      <c r="S56">
        <v>55</v>
      </c>
      <c r="T56">
        <v>57</v>
      </c>
      <c r="U56">
        <f t="shared" si="0"/>
        <v>-3.31623903804718</v>
      </c>
      <c r="V56">
        <f t="shared" si="1"/>
        <v>-398.874072413662</v>
      </c>
      <c r="W56">
        <f t="shared" si="2"/>
        <v>-3316.23903804718</v>
      </c>
      <c r="X56">
        <f t="shared" si="3"/>
        <v>-1.29504568965475</v>
      </c>
      <c r="Y56">
        <v>35</v>
      </c>
    </row>
    <row r="57" spans="1:25">
      <c r="A57" s="1">
        <v>58</v>
      </c>
      <c r="B57" t="s">
        <v>133</v>
      </c>
      <c r="C57" t="s">
        <v>118</v>
      </c>
      <c r="D57" t="s">
        <v>119</v>
      </c>
      <c r="E57" t="s">
        <v>120</v>
      </c>
      <c r="F57" t="s">
        <v>28</v>
      </c>
      <c r="G57">
        <v>35</v>
      </c>
      <c r="H57">
        <v>7</v>
      </c>
      <c r="I57">
        <v>0</v>
      </c>
      <c r="J57">
        <v>32</v>
      </c>
      <c r="K57">
        <v>14</v>
      </c>
      <c r="L57">
        <v>20</v>
      </c>
      <c r="M57">
        <v>20</v>
      </c>
      <c r="N57" t="s">
        <v>121</v>
      </c>
      <c r="O57" t="s">
        <v>122</v>
      </c>
      <c r="P57" t="s">
        <v>123</v>
      </c>
      <c r="Q57" t="s">
        <v>124</v>
      </c>
      <c r="R57" t="s">
        <v>125</v>
      </c>
      <c r="S57">
        <v>57</v>
      </c>
      <c r="T57">
        <v>40</v>
      </c>
      <c r="U57">
        <f t="shared" si="0"/>
        <v>-2.16968579866784</v>
      </c>
      <c r="V57">
        <f t="shared" si="1"/>
        <v>-260.967740999259</v>
      </c>
      <c r="W57">
        <f t="shared" si="2"/>
        <v>-2169.68579866784</v>
      </c>
      <c r="X57">
        <f t="shared" si="3"/>
        <v>-0.847297860387204</v>
      </c>
      <c r="Y57">
        <v>35</v>
      </c>
    </row>
    <row r="58" spans="1:25">
      <c r="A58" s="1">
        <v>59</v>
      </c>
      <c r="B58" t="s">
        <v>134</v>
      </c>
      <c r="C58" t="s">
        <v>118</v>
      </c>
      <c r="D58" t="s">
        <v>119</v>
      </c>
      <c r="E58" t="s">
        <v>120</v>
      </c>
      <c r="F58" t="s">
        <v>28</v>
      </c>
      <c r="G58">
        <v>35</v>
      </c>
      <c r="H58">
        <v>7</v>
      </c>
      <c r="I58">
        <v>0</v>
      </c>
      <c r="J58">
        <v>32</v>
      </c>
      <c r="K58">
        <v>14</v>
      </c>
      <c r="L58">
        <v>20</v>
      </c>
      <c r="M58">
        <v>20</v>
      </c>
      <c r="N58" t="s">
        <v>121</v>
      </c>
      <c r="O58" t="s">
        <v>122</v>
      </c>
      <c r="P58" t="s">
        <v>123</v>
      </c>
      <c r="Q58" t="s">
        <v>124</v>
      </c>
      <c r="R58" t="s">
        <v>125</v>
      </c>
      <c r="S58">
        <v>55</v>
      </c>
      <c r="T58">
        <v>59</v>
      </c>
      <c r="U58">
        <f t="shared" si="0"/>
        <v>-3.47061526340125</v>
      </c>
      <c r="V58">
        <f t="shared" si="1"/>
        <v>-417.442297738905</v>
      </c>
      <c r="W58">
        <f t="shared" si="2"/>
        <v>-3470.61526340125</v>
      </c>
      <c r="X58">
        <f t="shared" si="3"/>
        <v>-1.35533213551592</v>
      </c>
      <c r="Y58">
        <v>35</v>
      </c>
    </row>
    <row r="59" spans="1:25">
      <c r="A59" s="1">
        <v>60</v>
      </c>
      <c r="B59" t="s">
        <v>135</v>
      </c>
      <c r="C59" t="s">
        <v>118</v>
      </c>
      <c r="D59" t="s">
        <v>119</v>
      </c>
      <c r="E59" t="s">
        <v>120</v>
      </c>
      <c r="F59" t="s">
        <v>28</v>
      </c>
      <c r="G59">
        <v>35</v>
      </c>
      <c r="H59">
        <v>7</v>
      </c>
      <c r="I59">
        <v>0</v>
      </c>
      <c r="J59">
        <v>32</v>
      </c>
      <c r="K59">
        <v>14</v>
      </c>
      <c r="L59">
        <v>20</v>
      </c>
      <c r="M59">
        <v>20</v>
      </c>
      <c r="N59" t="s">
        <v>121</v>
      </c>
      <c r="O59" t="s">
        <v>122</v>
      </c>
      <c r="P59" t="s">
        <v>123</v>
      </c>
      <c r="Q59" t="s">
        <v>124</v>
      </c>
      <c r="R59" t="s">
        <v>125</v>
      </c>
      <c r="S59">
        <v>46</v>
      </c>
      <c r="T59">
        <v>52</v>
      </c>
      <c r="U59">
        <f t="shared" si="0"/>
        <v>-2.95168025325334</v>
      </c>
      <c r="V59">
        <f t="shared" si="1"/>
        <v>-355.025289061023</v>
      </c>
      <c r="W59">
        <f t="shared" si="2"/>
        <v>-2951.68025325334</v>
      </c>
      <c r="X59">
        <f t="shared" si="3"/>
        <v>-1.15267950993839</v>
      </c>
      <c r="Y59">
        <v>35</v>
      </c>
    </row>
    <row r="60" spans="1:25">
      <c r="A60" s="1">
        <v>61</v>
      </c>
      <c r="B60" t="s">
        <v>136</v>
      </c>
      <c r="C60" t="s">
        <v>118</v>
      </c>
      <c r="D60" t="s">
        <v>119</v>
      </c>
      <c r="E60" t="s">
        <v>120</v>
      </c>
      <c r="F60" t="s">
        <v>28</v>
      </c>
      <c r="G60">
        <v>35</v>
      </c>
      <c r="H60">
        <v>7</v>
      </c>
      <c r="I60">
        <v>0</v>
      </c>
      <c r="J60">
        <v>32</v>
      </c>
      <c r="K60">
        <v>14</v>
      </c>
      <c r="L60">
        <v>20</v>
      </c>
      <c r="M60">
        <v>20</v>
      </c>
      <c r="N60" t="s">
        <v>121</v>
      </c>
      <c r="O60" t="s">
        <v>122</v>
      </c>
      <c r="P60" t="s">
        <v>123</v>
      </c>
      <c r="Q60" t="s">
        <v>124</v>
      </c>
      <c r="R60" t="s">
        <v>125</v>
      </c>
      <c r="S60">
        <v>31</v>
      </c>
      <c r="T60">
        <v>49</v>
      </c>
      <c r="U60">
        <f t="shared" si="0"/>
        <v>-2.74539227336543</v>
      </c>
      <c r="V60">
        <f t="shared" si="1"/>
        <v>-330.213167352109</v>
      </c>
      <c r="W60">
        <f t="shared" si="2"/>
        <v>-2745.39227336543</v>
      </c>
      <c r="X60">
        <f t="shared" si="3"/>
        <v>-1.07212067322113</v>
      </c>
      <c r="Y60">
        <v>35</v>
      </c>
    </row>
    <row r="61" spans="1:25">
      <c r="A61" s="1">
        <v>62</v>
      </c>
      <c r="B61" t="s">
        <v>137</v>
      </c>
      <c r="C61" t="s">
        <v>118</v>
      </c>
      <c r="D61" t="s">
        <v>119</v>
      </c>
      <c r="E61" t="s">
        <v>120</v>
      </c>
      <c r="F61" t="s">
        <v>28</v>
      </c>
      <c r="G61">
        <v>35</v>
      </c>
      <c r="H61">
        <v>7</v>
      </c>
      <c r="I61">
        <v>0</v>
      </c>
      <c r="J61">
        <v>32</v>
      </c>
      <c r="K61">
        <v>14</v>
      </c>
      <c r="L61">
        <v>20</v>
      </c>
      <c r="M61">
        <v>20</v>
      </c>
      <c r="N61" t="s">
        <v>121</v>
      </c>
      <c r="O61" t="s">
        <v>122</v>
      </c>
      <c r="P61" t="s">
        <v>123</v>
      </c>
      <c r="Q61" t="s">
        <v>124</v>
      </c>
      <c r="R61" t="s">
        <v>125</v>
      </c>
      <c r="S61">
        <v>46</v>
      </c>
      <c r="T61">
        <v>58</v>
      </c>
      <c r="U61">
        <f t="shared" si="0"/>
        <v>-3.39275240863891</v>
      </c>
      <c r="V61">
        <f t="shared" si="1"/>
        <v>-408.077027741028</v>
      </c>
      <c r="W61">
        <f t="shared" si="2"/>
        <v>-3392.75240863891</v>
      </c>
      <c r="X61">
        <f t="shared" si="3"/>
        <v>-1.3249254147436</v>
      </c>
      <c r="Y61">
        <v>35</v>
      </c>
    </row>
    <row r="62" spans="1:25">
      <c r="A62" s="1">
        <v>63</v>
      </c>
      <c r="B62" t="s">
        <v>138</v>
      </c>
      <c r="C62" t="s">
        <v>118</v>
      </c>
      <c r="D62" t="s">
        <v>119</v>
      </c>
      <c r="E62" t="s">
        <v>120</v>
      </c>
      <c r="F62" t="s">
        <v>28</v>
      </c>
      <c r="G62">
        <v>35</v>
      </c>
      <c r="H62">
        <v>7</v>
      </c>
      <c r="I62">
        <v>0</v>
      </c>
      <c r="J62">
        <v>32</v>
      </c>
      <c r="K62">
        <v>14</v>
      </c>
      <c r="L62">
        <v>20</v>
      </c>
      <c r="M62">
        <v>20</v>
      </c>
      <c r="N62" t="s">
        <v>121</v>
      </c>
      <c r="O62" t="s">
        <v>122</v>
      </c>
      <c r="P62" t="s">
        <v>123</v>
      </c>
      <c r="Q62" t="s">
        <v>124</v>
      </c>
      <c r="R62" t="s">
        <v>125</v>
      </c>
      <c r="S62">
        <v>58</v>
      </c>
      <c r="T62">
        <v>75</v>
      </c>
      <c r="U62">
        <f t="shared" si="0"/>
        <v>-4.98291546960773</v>
      </c>
      <c r="V62">
        <f t="shared" si="1"/>
        <v>-599.340325909036</v>
      </c>
      <c r="W62">
        <f t="shared" si="2"/>
        <v>-4982.91546960773</v>
      </c>
      <c r="X62">
        <f t="shared" si="3"/>
        <v>-1.94591014905531</v>
      </c>
      <c r="Y62">
        <v>35</v>
      </c>
    </row>
    <row r="63" spans="1:25">
      <c r="A63" s="1">
        <v>64</v>
      </c>
      <c r="B63" t="s">
        <v>139</v>
      </c>
      <c r="C63" t="s">
        <v>118</v>
      </c>
      <c r="D63" t="s">
        <v>119</v>
      </c>
      <c r="E63" t="s">
        <v>120</v>
      </c>
      <c r="F63" t="s">
        <v>28</v>
      </c>
      <c r="G63">
        <v>35</v>
      </c>
      <c r="H63">
        <v>7</v>
      </c>
      <c r="I63">
        <v>0</v>
      </c>
      <c r="J63">
        <v>32</v>
      </c>
      <c r="K63">
        <v>14</v>
      </c>
      <c r="L63">
        <v>20</v>
      </c>
      <c r="M63">
        <v>20</v>
      </c>
      <c r="N63" t="s">
        <v>121</v>
      </c>
      <c r="O63" t="s">
        <v>122</v>
      </c>
      <c r="P63" t="s">
        <v>123</v>
      </c>
      <c r="Q63" t="s">
        <v>124</v>
      </c>
      <c r="R63" t="s">
        <v>125</v>
      </c>
      <c r="S63">
        <v>19</v>
      </c>
      <c r="T63">
        <v>66</v>
      </c>
      <c r="U63">
        <f t="shared" si="0"/>
        <v>-4.06033476178716</v>
      </c>
      <c r="V63">
        <f t="shared" si="1"/>
        <v>-488.373197232038</v>
      </c>
      <c r="W63">
        <f t="shared" si="2"/>
        <v>-4060.33476178716</v>
      </c>
      <c r="X63">
        <f t="shared" si="3"/>
        <v>-1.58562726374038</v>
      </c>
      <c r="Y63">
        <v>35</v>
      </c>
    </row>
    <row r="64" spans="1:25">
      <c r="A64" s="1">
        <v>65</v>
      </c>
      <c r="B64" t="s">
        <v>140</v>
      </c>
      <c r="C64" t="s">
        <v>118</v>
      </c>
      <c r="D64" t="s">
        <v>119</v>
      </c>
      <c r="E64" t="s">
        <v>120</v>
      </c>
      <c r="F64" t="s">
        <v>28</v>
      </c>
      <c r="G64">
        <v>35</v>
      </c>
      <c r="H64">
        <v>7</v>
      </c>
      <c r="I64">
        <v>0</v>
      </c>
      <c r="J64">
        <v>32</v>
      </c>
      <c r="K64">
        <v>14</v>
      </c>
      <c r="L64">
        <v>20</v>
      </c>
      <c r="M64">
        <v>20</v>
      </c>
      <c r="N64" t="s">
        <v>121</v>
      </c>
      <c r="O64" t="s">
        <v>122</v>
      </c>
      <c r="P64" t="s">
        <v>123</v>
      </c>
      <c r="Q64" t="s">
        <v>124</v>
      </c>
      <c r="R64" t="s">
        <v>125</v>
      </c>
      <c r="S64">
        <v>26</v>
      </c>
      <c r="T64">
        <v>71</v>
      </c>
      <c r="U64">
        <f t="shared" si="0"/>
        <v>-4.54364472970272</v>
      </c>
      <c r="V64">
        <f t="shared" si="1"/>
        <v>-546.505259766985</v>
      </c>
      <c r="W64">
        <f t="shared" si="2"/>
        <v>-4543.64472970272</v>
      </c>
      <c r="X64">
        <f t="shared" ref="X64:X115" si="4">-LN((1+T64*0.01)/(1-T64*0.01))</f>
        <v>-1.77436772651619</v>
      </c>
      <c r="Y64">
        <v>35</v>
      </c>
    </row>
    <row r="65" spans="1:25">
      <c r="A65" s="1">
        <v>67</v>
      </c>
      <c r="B65" t="s">
        <v>141</v>
      </c>
      <c r="C65" t="s">
        <v>118</v>
      </c>
      <c r="D65" t="s">
        <v>119</v>
      </c>
      <c r="E65" t="s">
        <v>120</v>
      </c>
      <c r="F65" t="s">
        <v>28</v>
      </c>
      <c r="G65">
        <v>35</v>
      </c>
      <c r="H65">
        <v>7</v>
      </c>
      <c r="I65">
        <v>0</v>
      </c>
      <c r="J65">
        <v>32</v>
      </c>
      <c r="K65">
        <v>14</v>
      </c>
      <c r="L65">
        <v>20</v>
      </c>
      <c r="M65">
        <v>20</v>
      </c>
      <c r="N65" t="s">
        <v>121</v>
      </c>
      <c r="O65" t="s">
        <v>122</v>
      </c>
      <c r="P65" t="s">
        <v>123</v>
      </c>
      <c r="Q65" t="s">
        <v>124</v>
      </c>
      <c r="R65" t="s">
        <v>125</v>
      </c>
      <c r="S65">
        <v>33</v>
      </c>
      <c r="T65">
        <v>1</v>
      </c>
      <c r="U65">
        <f t="shared" si="0"/>
        <v>-0.0512159472437689</v>
      </c>
      <c r="V65">
        <f t="shared" si="1"/>
        <v>-6.16020534565419</v>
      </c>
      <c r="W65">
        <f t="shared" si="2"/>
        <v>-51.2159472437689</v>
      </c>
      <c r="X65">
        <f t="shared" si="4"/>
        <v>-0.0200006667066694</v>
      </c>
      <c r="Y65">
        <v>35</v>
      </c>
    </row>
    <row r="66" spans="1:25">
      <c r="A66" s="1">
        <v>69</v>
      </c>
      <c r="B66" t="s">
        <v>142</v>
      </c>
      <c r="C66" t="s">
        <v>118</v>
      </c>
      <c r="D66" t="s">
        <v>119</v>
      </c>
      <c r="E66" t="s">
        <v>120</v>
      </c>
      <c r="F66" t="s">
        <v>28</v>
      </c>
      <c r="G66">
        <v>35</v>
      </c>
      <c r="H66">
        <v>7</v>
      </c>
      <c r="I66">
        <v>0</v>
      </c>
      <c r="J66">
        <v>32</v>
      </c>
      <c r="K66">
        <v>14</v>
      </c>
      <c r="L66">
        <v>20</v>
      </c>
      <c r="M66">
        <v>20</v>
      </c>
      <c r="N66" t="s">
        <v>121</v>
      </c>
      <c r="O66" t="s">
        <v>122</v>
      </c>
      <c r="P66" t="s">
        <v>123</v>
      </c>
      <c r="Q66" t="s">
        <v>124</v>
      </c>
      <c r="R66" t="s">
        <v>125</v>
      </c>
      <c r="S66">
        <v>42</v>
      </c>
      <c r="T66">
        <v>36</v>
      </c>
      <c r="U66">
        <f t="shared" ref="U66:U129" si="5">LN((1+T66*0.01)/(1-T66*0.01))*-(G66+273)*8.314/1000</f>
        <v>-1.93019249960682</v>
      </c>
      <c r="V66">
        <f t="shared" ref="V66:V129" si="6">LN((1+T66*0.01)/(1-T66*0.01))*-(G66+273)</f>
        <v>-232.161715131925</v>
      </c>
      <c r="W66">
        <f t="shared" ref="W66:W129" si="7">LN((1+T66*0.01)/(1-T66*0.01))*-(G66+273)*8.314</f>
        <v>-1930.19249960682</v>
      </c>
      <c r="X66">
        <f t="shared" si="4"/>
        <v>-0.75377180237638</v>
      </c>
      <c r="Y66">
        <v>35</v>
      </c>
    </row>
    <row r="67" spans="1:25">
      <c r="A67" s="1">
        <v>70</v>
      </c>
      <c r="B67" t="s">
        <v>143</v>
      </c>
      <c r="C67" t="s">
        <v>118</v>
      </c>
      <c r="D67" t="s">
        <v>119</v>
      </c>
      <c r="E67" t="s">
        <v>120</v>
      </c>
      <c r="F67" t="s">
        <v>28</v>
      </c>
      <c r="G67">
        <v>35</v>
      </c>
      <c r="H67">
        <v>7</v>
      </c>
      <c r="I67">
        <v>0</v>
      </c>
      <c r="J67">
        <v>32</v>
      </c>
      <c r="K67">
        <v>14</v>
      </c>
      <c r="L67">
        <v>20</v>
      </c>
      <c r="M67">
        <v>20</v>
      </c>
      <c r="N67" t="s">
        <v>121</v>
      </c>
      <c r="O67" t="s">
        <v>122</v>
      </c>
      <c r="P67" t="s">
        <v>123</v>
      </c>
      <c r="Q67" t="s">
        <v>124</v>
      </c>
      <c r="R67" t="s">
        <v>125</v>
      </c>
      <c r="S67">
        <v>46</v>
      </c>
      <c r="T67">
        <v>38</v>
      </c>
      <c r="U67">
        <f t="shared" si="5"/>
        <v>-2.04887509322869</v>
      </c>
      <c r="V67">
        <f t="shared" si="6"/>
        <v>-246.436744434531</v>
      </c>
      <c r="W67">
        <f t="shared" si="7"/>
        <v>-2048.87509322869</v>
      </c>
      <c r="X67">
        <f t="shared" si="4"/>
        <v>-0.800119300112113</v>
      </c>
      <c r="Y67">
        <v>35</v>
      </c>
    </row>
    <row r="68" spans="1:25">
      <c r="A68" s="1">
        <v>71</v>
      </c>
      <c r="B68" t="s">
        <v>144</v>
      </c>
      <c r="C68" t="s">
        <v>118</v>
      </c>
      <c r="D68" t="s">
        <v>119</v>
      </c>
      <c r="E68" t="s">
        <v>120</v>
      </c>
      <c r="F68" t="s">
        <v>28</v>
      </c>
      <c r="G68">
        <v>35</v>
      </c>
      <c r="H68">
        <v>7</v>
      </c>
      <c r="I68">
        <v>0</v>
      </c>
      <c r="J68">
        <v>32</v>
      </c>
      <c r="K68">
        <v>14</v>
      </c>
      <c r="L68">
        <v>20</v>
      </c>
      <c r="M68">
        <v>20</v>
      </c>
      <c r="N68" t="s">
        <v>121</v>
      </c>
      <c r="O68" t="s">
        <v>122</v>
      </c>
      <c r="P68" t="s">
        <v>123</v>
      </c>
      <c r="Q68" t="s">
        <v>124</v>
      </c>
      <c r="R68" t="s">
        <v>125</v>
      </c>
      <c r="S68">
        <v>43</v>
      </c>
      <c r="T68">
        <v>56</v>
      </c>
      <c r="U68">
        <f t="shared" si="5"/>
        <v>-3.24100707018588</v>
      </c>
      <c r="V68">
        <f t="shared" si="6"/>
        <v>-389.825242986033</v>
      </c>
      <c r="W68">
        <f t="shared" si="7"/>
        <v>-3241.00707018588</v>
      </c>
      <c r="X68">
        <f t="shared" si="4"/>
        <v>-1.26566637333128</v>
      </c>
      <c r="Y68">
        <v>35</v>
      </c>
    </row>
    <row r="69" spans="1:25">
      <c r="A69" s="1">
        <v>72</v>
      </c>
      <c r="B69" t="s">
        <v>145</v>
      </c>
      <c r="C69" t="s">
        <v>118</v>
      </c>
      <c r="D69" t="s">
        <v>119</v>
      </c>
      <c r="E69" t="s">
        <v>120</v>
      </c>
      <c r="F69" t="s">
        <v>28</v>
      </c>
      <c r="G69">
        <v>35</v>
      </c>
      <c r="H69">
        <v>7</v>
      </c>
      <c r="I69">
        <v>0</v>
      </c>
      <c r="J69">
        <v>32</v>
      </c>
      <c r="K69">
        <v>14</v>
      </c>
      <c r="L69">
        <v>20</v>
      </c>
      <c r="M69">
        <v>20</v>
      </c>
      <c r="N69" t="s">
        <v>121</v>
      </c>
      <c r="O69" t="s">
        <v>122</v>
      </c>
      <c r="P69" t="s">
        <v>123</v>
      </c>
      <c r="Q69" t="s">
        <v>124</v>
      </c>
      <c r="R69" t="s">
        <v>125</v>
      </c>
      <c r="S69">
        <v>43</v>
      </c>
      <c r="T69">
        <v>56</v>
      </c>
      <c r="U69">
        <f t="shared" si="5"/>
        <v>-3.24100707018588</v>
      </c>
      <c r="V69">
        <f t="shared" si="6"/>
        <v>-389.825242986033</v>
      </c>
      <c r="W69">
        <f t="shared" si="7"/>
        <v>-3241.00707018588</v>
      </c>
      <c r="X69">
        <f t="shared" si="4"/>
        <v>-1.26566637333128</v>
      </c>
      <c r="Y69">
        <v>35</v>
      </c>
    </row>
    <row r="70" spans="1:25">
      <c r="A70" s="1">
        <v>73</v>
      </c>
      <c r="B70" t="s">
        <v>146</v>
      </c>
      <c r="C70" t="s">
        <v>118</v>
      </c>
      <c r="D70" t="s">
        <v>119</v>
      </c>
      <c r="E70" t="s">
        <v>120</v>
      </c>
      <c r="F70" t="s">
        <v>28</v>
      </c>
      <c r="G70">
        <v>35</v>
      </c>
      <c r="H70">
        <v>7</v>
      </c>
      <c r="I70">
        <v>0</v>
      </c>
      <c r="J70">
        <v>32</v>
      </c>
      <c r="K70">
        <v>14</v>
      </c>
      <c r="L70">
        <v>20</v>
      </c>
      <c r="M70">
        <v>20</v>
      </c>
      <c r="N70" t="s">
        <v>121</v>
      </c>
      <c r="O70" t="s">
        <v>122</v>
      </c>
      <c r="P70" t="s">
        <v>123</v>
      </c>
      <c r="Q70" t="s">
        <v>124</v>
      </c>
      <c r="R70" t="s">
        <v>125</v>
      </c>
      <c r="S70">
        <v>8</v>
      </c>
      <c r="T70">
        <v>6</v>
      </c>
      <c r="U70">
        <f t="shared" si="5"/>
        <v>-0.307654981065714</v>
      </c>
      <c r="V70">
        <f t="shared" si="6"/>
        <v>-37.0044480473555</v>
      </c>
      <c r="W70">
        <f t="shared" si="7"/>
        <v>-307.654981065714</v>
      </c>
      <c r="X70">
        <f t="shared" si="4"/>
        <v>-0.120144311842063</v>
      </c>
      <c r="Y70">
        <v>35</v>
      </c>
    </row>
    <row r="71" spans="1:25">
      <c r="A71" s="1">
        <v>76</v>
      </c>
      <c r="B71" t="s">
        <v>147</v>
      </c>
      <c r="C71" t="s">
        <v>118</v>
      </c>
      <c r="D71" t="s">
        <v>119</v>
      </c>
      <c r="E71" t="s">
        <v>120</v>
      </c>
      <c r="F71" t="s">
        <v>28</v>
      </c>
      <c r="G71">
        <v>35</v>
      </c>
      <c r="H71">
        <v>7</v>
      </c>
      <c r="I71">
        <v>0</v>
      </c>
      <c r="J71">
        <v>32</v>
      </c>
      <c r="K71">
        <v>14</v>
      </c>
      <c r="L71">
        <v>20</v>
      </c>
      <c r="M71">
        <v>20</v>
      </c>
      <c r="N71" t="s">
        <v>121</v>
      </c>
      <c r="O71" t="s">
        <v>122</v>
      </c>
      <c r="P71" t="s">
        <v>123</v>
      </c>
      <c r="Q71" t="s">
        <v>124</v>
      </c>
      <c r="R71" t="s">
        <v>125</v>
      </c>
      <c r="S71">
        <v>9</v>
      </c>
      <c r="T71">
        <v>15</v>
      </c>
      <c r="U71">
        <f t="shared" si="5"/>
        <v>-0.774054255975483</v>
      </c>
      <c r="V71">
        <f t="shared" si="6"/>
        <v>-93.1025085368635</v>
      </c>
      <c r="W71">
        <f t="shared" si="7"/>
        <v>-774.054255975483</v>
      </c>
      <c r="X71">
        <f t="shared" si="4"/>
        <v>-0.302280871872934</v>
      </c>
      <c r="Y71">
        <v>35</v>
      </c>
    </row>
    <row r="72" spans="1:25">
      <c r="A72" s="1">
        <v>77</v>
      </c>
      <c r="B72" t="s">
        <v>148</v>
      </c>
      <c r="C72" t="s">
        <v>118</v>
      </c>
      <c r="D72" t="s">
        <v>119</v>
      </c>
      <c r="E72" t="s">
        <v>120</v>
      </c>
      <c r="F72" t="s">
        <v>28</v>
      </c>
      <c r="G72">
        <v>35</v>
      </c>
      <c r="H72">
        <v>7</v>
      </c>
      <c r="I72">
        <v>0</v>
      </c>
      <c r="J72">
        <v>32</v>
      </c>
      <c r="K72">
        <v>14</v>
      </c>
      <c r="L72">
        <v>20</v>
      </c>
      <c r="M72">
        <v>20</v>
      </c>
      <c r="N72" t="s">
        <v>121</v>
      </c>
      <c r="O72" t="s">
        <v>122</v>
      </c>
      <c r="P72" t="s">
        <v>123</v>
      </c>
      <c r="Q72" t="s">
        <v>124</v>
      </c>
      <c r="R72" t="s">
        <v>125</v>
      </c>
      <c r="S72">
        <v>6</v>
      </c>
      <c r="T72">
        <v>2</v>
      </c>
      <c r="U72">
        <f t="shared" si="5"/>
        <v>-0.102442140409315</v>
      </c>
      <c r="V72">
        <f t="shared" si="6"/>
        <v>-12.3216430610194</v>
      </c>
      <c r="W72">
        <f t="shared" si="7"/>
        <v>-102.442140409315</v>
      </c>
      <c r="X72">
        <f t="shared" si="4"/>
        <v>-0.0400053346136992</v>
      </c>
      <c r="Y72">
        <v>35</v>
      </c>
    </row>
    <row r="73" spans="1:25">
      <c r="A73" s="1">
        <v>78</v>
      </c>
      <c r="B73" t="s">
        <v>149</v>
      </c>
      <c r="C73" t="s">
        <v>118</v>
      </c>
      <c r="D73" t="s">
        <v>119</v>
      </c>
      <c r="E73" t="s">
        <v>120</v>
      </c>
      <c r="F73" t="s">
        <v>28</v>
      </c>
      <c r="G73">
        <v>35</v>
      </c>
      <c r="H73">
        <v>7</v>
      </c>
      <c r="I73">
        <v>0</v>
      </c>
      <c r="J73">
        <v>32</v>
      </c>
      <c r="K73">
        <v>14</v>
      </c>
      <c r="L73">
        <v>20</v>
      </c>
      <c r="M73">
        <v>20</v>
      </c>
      <c r="N73" t="s">
        <v>121</v>
      </c>
      <c r="O73" t="s">
        <v>122</v>
      </c>
      <c r="P73" t="s">
        <v>123</v>
      </c>
      <c r="Q73" t="s">
        <v>124</v>
      </c>
      <c r="R73" t="s">
        <v>125</v>
      </c>
      <c r="S73">
        <v>4</v>
      </c>
      <c r="T73">
        <v>17</v>
      </c>
      <c r="U73">
        <f t="shared" si="5"/>
        <v>-0.87917777045179</v>
      </c>
      <c r="V73">
        <f t="shared" si="6"/>
        <v>-105.746664716357</v>
      </c>
      <c r="W73">
        <f t="shared" si="7"/>
        <v>-879.17777045179</v>
      </c>
      <c r="X73">
        <f t="shared" si="4"/>
        <v>-0.343333327001158</v>
      </c>
      <c r="Y73">
        <v>35</v>
      </c>
    </row>
    <row r="74" spans="1:25">
      <c r="A74" s="1">
        <v>79</v>
      </c>
      <c r="B74" t="s">
        <v>150</v>
      </c>
      <c r="C74" t="s">
        <v>118</v>
      </c>
      <c r="D74" t="s">
        <v>119</v>
      </c>
      <c r="E74" t="s">
        <v>120</v>
      </c>
      <c r="F74" t="s">
        <v>28</v>
      </c>
      <c r="G74">
        <v>35</v>
      </c>
      <c r="H74">
        <v>7</v>
      </c>
      <c r="I74">
        <v>0</v>
      </c>
      <c r="J74">
        <v>32</v>
      </c>
      <c r="K74">
        <v>14</v>
      </c>
      <c r="L74">
        <v>20</v>
      </c>
      <c r="M74">
        <v>20</v>
      </c>
      <c r="N74" t="s">
        <v>121</v>
      </c>
      <c r="O74" t="s">
        <v>122</v>
      </c>
      <c r="P74" t="s">
        <v>123</v>
      </c>
      <c r="Q74" t="s">
        <v>124</v>
      </c>
      <c r="R74" t="s">
        <v>125</v>
      </c>
      <c r="S74">
        <v>6</v>
      </c>
      <c r="T74">
        <v>8</v>
      </c>
      <c r="U74">
        <f t="shared" si="5"/>
        <v>-0.410591348159313</v>
      </c>
      <c r="V74">
        <f t="shared" si="6"/>
        <v>-49.3855362231553</v>
      </c>
      <c r="W74">
        <f t="shared" si="7"/>
        <v>-410.591348159313</v>
      </c>
      <c r="X74">
        <f t="shared" si="4"/>
        <v>-0.16034265007518</v>
      </c>
      <c r="Y74">
        <v>35</v>
      </c>
    </row>
    <row r="75" spans="1:25">
      <c r="A75" s="1">
        <v>82</v>
      </c>
      <c r="B75" t="s">
        <v>151</v>
      </c>
      <c r="C75" t="s">
        <v>118</v>
      </c>
      <c r="D75" t="s">
        <v>119</v>
      </c>
      <c r="E75" t="s">
        <v>120</v>
      </c>
      <c r="F75" t="s">
        <v>28</v>
      </c>
      <c r="G75">
        <v>35</v>
      </c>
      <c r="H75">
        <v>7</v>
      </c>
      <c r="I75">
        <v>0</v>
      </c>
      <c r="J75">
        <v>32</v>
      </c>
      <c r="K75">
        <v>14</v>
      </c>
      <c r="L75">
        <v>20</v>
      </c>
      <c r="M75">
        <v>20</v>
      </c>
      <c r="N75" t="s">
        <v>121</v>
      </c>
      <c r="O75" t="s">
        <v>122</v>
      </c>
      <c r="P75" t="s">
        <v>123</v>
      </c>
      <c r="Q75" t="s">
        <v>124</v>
      </c>
      <c r="R75" t="s">
        <v>125</v>
      </c>
      <c r="S75">
        <v>6</v>
      </c>
      <c r="T75">
        <v>5</v>
      </c>
      <c r="U75">
        <f t="shared" si="5"/>
        <v>-0.256284913328368</v>
      </c>
      <c r="V75">
        <f t="shared" si="6"/>
        <v>-30.8257052355507</v>
      </c>
      <c r="W75">
        <f t="shared" si="7"/>
        <v>-256.284913328368</v>
      </c>
      <c r="X75">
        <f t="shared" si="4"/>
        <v>-0.100083458556983</v>
      </c>
      <c r="Y75">
        <v>35</v>
      </c>
    </row>
    <row r="76" spans="1:25">
      <c r="A76" s="1">
        <v>84</v>
      </c>
      <c r="B76" t="s">
        <v>152</v>
      </c>
      <c r="C76" t="s">
        <v>118</v>
      </c>
      <c r="D76" t="s">
        <v>119</v>
      </c>
      <c r="E76" t="s">
        <v>120</v>
      </c>
      <c r="F76" t="s">
        <v>28</v>
      </c>
      <c r="G76">
        <v>35</v>
      </c>
      <c r="H76">
        <v>7</v>
      </c>
      <c r="I76">
        <v>0</v>
      </c>
      <c r="J76">
        <v>32</v>
      </c>
      <c r="K76">
        <v>14</v>
      </c>
      <c r="L76">
        <v>20</v>
      </c>
      <c r="M76">
        <v>20</v>
      </c>
      <c r="N76" t="s">
        <v>121</v>
      </c>
      <c r="O76" t="s">
        <v>122</v>
      </c>
      <c r="P76" t="s">
        <v>123</v>
      </c>
      <c r="Q76" t="s">
        <v>124</v>
      </c>
      <c r="R76" t="s">
        <v>125</v>
      </c>
      <c r="S76">
        <v>35</v>
      </c>
      <c r="T76">
        <v>41</v>
      </c>
      <c r="U76">
        <f t="shared" si="5"/>
        <v>-2.23094977335136</v>
      </c>
      <c r="V76">
        <f t="shared" si="6"/>
        <v>-268.336513513514</v>
      </c>
      <c r="W76">
        <f t="shared" si="7"/>
        <v>-2230.94977335136</v>
      </c>
      <c r="X76">
        <f t="shared" si="4"/>
        <v>-0.871222446472449</v>
      </c>
      <c r="Y76">
        <v>35</v>
      </c>
    </row>
    <row r="77" spans="1:25">
      <c r="A77" s="1">
        <v>85</v>
      </c>
      <c r="B77" t="s">
        <v>153</v>
      </c>
      <c r="C77" t="s">
        <v>118</v>
      </c>
      <c r="D77" t="s">
        <v>119</v>
      </c>
      <c r="E77" t="s">
        <v>120</v>
      </c>
      <c r="F77" t="s">
        <v>28</v>
      </c>
      <c r="G77">
        <v>35</v>
      </c>
      <c r="H77">
        <v>7</v>
      </c>
      <c r="I77">
        <v>0</v>
      </c>
      <c r="J77">
        <v>32</v>
      </c>
      <c r="K77">
        <v>14</v>
      </c>
      <c r="L77">
        <v>20</v>
      </c>
      <c r="M77">
        <v>20</v>
      </c>
      <c r="N77" t="s">
        <v>121</v>
      </c>
      <c r="O77" t="s">
        <v>122</v>
      </c>
      <c r="P77" t="s">
        <v>123</v>
      </c>
      <c r="Q77" t="s">
        <v>124</v>
      </c>
      <c r="R77" t="s">
        <v>125</v>
      </c>
      <c r="S77">
        <v>29</v>
      </c>
      <c r="T77">
        <v>3</v>
      </c>
      <c r="U77">
        <f t="shared" si="5"/>
        <v>-0.153688837722133</v>
      </c>
      <c r="V77">
        <f t="shared" si="6"/>
        <v>-18.4855469956859</v>
      </c>
      <c r="W77">
        <f t="shared" si="7"/>
        <v>-153.688837722133</v>
      </c>
      <c r="X77">
        <f t="shared" si="4"/>
        <v>-0.060018009726253</v>
      </c>
      <c r="Y77">
        <v>35</v>
      </c>
    </row>
    <row r="78" spans="1:25">
      <c r="A78" s="1">
        <v>86</v>
      </c>
      <c r="B78" t="s">
        <v>154</v>
      </c>
      <c r="C78" t="s">
        <v>118</v>
      </c>
      <c r="D78" t="s">
        <v>119</v>
      </c>
      <c r="E78" t="s">
        <v>120</v>
      </c>
      <c r="F78" t="s">
        <v>28</v>
      </c>
      <c r="G78">
        <v>35</v>
      </c>
      <c r="H78">
        <v>7</v>
      </c>
      <c r="I78">
        <v>0</v>
      </c>
      <c r="J78">
        <v>32</v>
      </c>
      <c r="K78">
        <v>14</v>
      </c>
      <c r="L78">
        <v>20</v>
      </c>
      <c r="M78">
        <v>20</v>
      </c>
      <c r="N78" t="s">
        <v>121</v>
      </c>
      <c r="O78" t="s">
        <v>122</v>
      </c>
      <c r="P78" t="s">
        <v>123</v>
      </c>
      <c r="Q78" t="s">
        <v>124</v>
      </c>
      <c r="R78" t="s">
        <v>125</v>
      </c>
      <c r="S78">
        <v>31</v>
      </c>
      <c r="T78">
        <v>2</v>
      </c>
      <c r="U78">
        <f t="shared" si="5"/>
        <v>-0.102442140409315</v>
      </c>
      <c r="V78">
        <f t="shared" si="6"/>
        <v>-12.3216430610194</v>
      </c>
      <c r="W78">
        <f t="shared" si="7"/>
        <v>-102.442140409315</v>
      </c>
      <c r="X78">
        <f t="shared" si="4"/>
        <v>-0.0400053346136992</v>
      </c>
      <c r="Y78">
        <v>35</v>
      </c>
    </row>
    <row r="79" spans="1:25">
      <c r="A79" s="1">
        <v>87</v>
      </c>
      <c r="B79" t="s">
        <v>155</v>
      </c>
      <c r="C79" t="s">
        <v>118</v>
      </c>
      <c r="D79" t="s">
        <v>119</v>
      </c>
      <c r="E79" t="s">
        <v>120</v>
      </c>
      <c r="F79" t="s">
        <v>28</v>
      </c>
      <c r="G79">
        <v>35</v>
      </c>
      <c r="H79">
        <v>7</v>
      </c>
      <c r="I79">
        <v>0</v>
      </c>
      <c r="J79">
        <v>32</v>
      </c>
      <c r="K79">
        <v>14</v>
      </c>
      <c r="L79">
        <v>20</v>
      </c>
      <c r="M79">
        <v>20</v>
      </c>
      <c r="N79" t="s">
        <v>121</v>
      </c>
      <c r="O79" t="s">
        <v>122</v>
      </c>
      <c r="P79" t="s">
        <v>123</v>
      </c>
      <c r="Q79" t="s">
        <v>124</v>
      </c>
      <c r="R79" t="s">
        <v>125</v>
      </c>
      <c r="S79">
        <v>29</v>
      </c>
      <c r="T79">
        <v>7</v>
      </c>
      <c r="U79">
        <f t="shared" si="5"/>
        <v>-0.359086957041157</v>
      </c>
      <c r="V79">
        <f t="shared" si="6"/>
        <v>-43.1906371230643</v>
      </c>
      <c r="W79">
        <f t="shared" si="7"/>
        <v>-359.086957041157</v>
      </c>
      <c r="X79">
        <f t="shared" si="4"/>
        <v>-0.14022934130865</v>
      </c>
      <c r="Y79">
        <v>35</v>
      </c>
    </row>
    <row r="80" spans="1:25">
      <c r="A80" s="1">
        <v>88</v>
      </c>
      <c r="B80" t="s">
        <v>156</v>
      </c>
      <c r="C80" t="s">
        <v>118</v>
      </c>
      <c r="D80" t="s">
        <v>119</v>
      </c>
      <c r="E80" t="s">
        <v>120</v>
      </c>
      <c r="F80" t="s">
        <v>28</v>
      </c>
      <c r="G80">
        <v>35</v>
      </c>
      <c r="H80">
        <v>7</v>
      </c>
      <c r="I80">
        <v>0</v>
      </c>
      <c r="J80">
        <v>32</v>
      </c>
      <c r="K80">
        <v>14</v>
      </c>
      <c r="L80">
        <v>20</v>
      </c>
      <c r="M80">
        <v>20</v>
      </c>
      <c r="N80" t="s">
        <v>121</v>
      </c>
      <c r="O80" t="s">
        <v>122</v>
      </c>
      <c r="P80" t="s">
        <v>123</v>
      </c>
      <c r="Q80" t="s">
        <v>124</v>
      </c>
      <c r="R80" t="s">
        <v>125</v>
      </c>
      <c r="S80">
        <v>27</v>
      </c>
      <c r="T80">
        <v>11</v>
      </c>
      <c r="U80">
        <f t="shared" si="5"/>
        <v>-0.565645485253383</v>
      </c>
      <c r="V80">
        <f t="shared" si="6"/>
        <v>-68.0353001266999</v>
      </c>
      <c r="W80">
        <f t="shared" si="7"/>
        <v>-565.645485253383</v>
      </c>
      <c r="X80">
        <f t="shared" si="4"/>
        <v>-0.220893831580194</v>
      </c>
      <c r="Y80">
        <v>35</v>
      </c>
    </row>
    <row r="81" spans="1:25">
      <c r="A81" s="1">
        <v>89</v>
      </c>
      <c r="B81" t="s">
        <v>157</v>
      </c>
      <c r="C81" t="s">
        <v>118</v>
      </c>
      <c r="D81" t="s">
        <v>119</v>
      </c>
      <c r="E81" t="s">
        <v>120</v>
      </c>
      <c r="F81" t="s">
        <v>28</v>
      </c>
      <c r="G81">
        <v>35</v>
      </c>
      <c r="H81">
        <v>7</v>
      </c>
      <c r="I81">
        <v>0</v>
      </c>
      <c r="J81">
        <v>32</v>
      </c>
      <c r="K81">
        <v>14</v>
      </c>
      <c r="L81">
        <v>20</v>
      </c>
      <c r="M81">
        <v>20</v>
      </c>
      <c r="N81" t="s">
        <v>121</v>
      </c>
      <c r="O81" t="s">
        <v>122</v>
      </c>
      <c r="P81" t="s">
        <v>123</v>
      </c>
      <c r="Q81" t="s">
        <v>124</v>
      </c>
      <c r="R81" t="s">
        <v>125</v>
      </c>
      <c r="S81">
        <v>29</v>
      </c>
      <c r="T81">
        <v>1</v>
      </c>
      <c r="U81">
        <f t="shared" si="5"/>
        <v>-0.0512159472437689</v>
      </c>
      <c r="V81">
        <f t="shared" si="6"/>
        <v>-6.16020534565419</v>
      </c>
      <c r="W81">
        <f t="shared" si="7"/>
        <v>-51.2159472437689</v>
      </c>
      <c r="X81">
        <f t="shared" si="4"/>
        <v>-0.0200006667066694</v>
      </c>
      <c r="Y81">
        <v>35</v>
      </c>
    </row>
    <row r="82" spans="1:25">
      <c r="A82" s="1">
        <v>92</v>
      </c>
      <c r="B82" t="s">
        <v>158</v>
      </c>
      <c r="C82" t="s">
        <v>118</v>
      </c>
      <c r="D82" t="s">
        <v>119</v>
      </c>
      <c r="E82" t="s">
        <v>120</v>
      </c>
      <c r="F82" t="s">
        <v>28</v>
      </c>
      <c r="G82">
        <v>35</v>
      </c>
      <c r="H82">
        <v>7</v>
      </c>
      <c r="I82">
        <v>0</v>
      </c>
      <c r="J82">
        <v>32</v>
      </c>
      <c r="K82">
        <v>14</v>
      </c>
      <c r="L82">
        <v>20</v>
      </c>
      <c r="M82">
        <v>20</v>
      </c>
      <c r="N82" t="s">
        <v>121</v>
      </c>
      <c r="O82" t="s">
        <v>122</v>
      </c>
      <c r="P82" t="s">
        <v>123</v>
      </c>
      <c r="Q82" t="s">
        <v>124</v>
      </c>
      <c r="R82" t="s">
        <v>125</v>
      </c>
      <c r="S82">
        <v>35</v>
      </c>
      <c r="T82">
        <v>10</v>
      </c>
      <c r="U82">
        <f t="shared" si="5"/>
        <v>-0.513859857918276</v>
      </c>
      <c r="V82">
        <f t="shared" si="6"/>
        <v>-61.8065742023426</v>
      </c>
      <c r="W82">
        <f t="shared" si="7"/>
        <v>-513.859857918276</v>
      </c>
      <c r="X82">
        <f t="shared" si="4"/>
        <v>-0.200670695462151</v>
      </c>
      <c r="Y82">
        <v>35</v>
      </c>
    </row>
    <row r="83" spans="1:25">
      <c r="A83" s="1">
        <v>93</v>
      </c>
      <c r="B83" t="s">
        <v>159</v>
      </c>
      <c r="C83" t="s">
        <v>118</v>
      </c>
      <c r="D83" t="s">
        <v>119</v>
      </c>
      <c r="E83" t="s">
        <v>120</v>
      </c>
      <c r="F83" t="s">
        <v>28</v>
      </c>
      <c r="G83">
        <v>35</v>
      </c>
      <c r="H83">
        <v>7</v>
      </c>
      <c r="I83">
        <v>0</v>
      </c>
      <c r="J83">
        <v>32</v>
      </c>
      <c r="K83">
        <v>14</v>
      </c>
      <c r="L83">
        <v>20</v>
      </c>
      <c r="M83">
        <v>20</v>
      </c>
      <c r="N83" t="s">
        <v>121</v>
      </c>
      <c r="O83" t="s">
        <v>122</v>
      </c>
      <c r="P83" t="s">
        <v>123</v>
      </c>
      <c r="Q83" t="s">
        <v>124</v>
      </c>
      <c r="R83" t="s">
        <v>125</v>
      </c>
      <c r="S83">
        <v>54</v>
      </c>
      <c r="T83">
        <v>32</v>
      </c>
      <c r="U83">
        <f t="shared" si="5"/>
        <v>-1.69850546205307</v>
      </c>
      <c r="V83">
        <f t="shared" si="6"/>
        <v>-204.294618962361</v>
      </c>
      <c r="W83">
        <f t="shared" si="7"/>
        <v>-1698.50546205307</v>
      </c>
      <c r="X83">
        <f t="shared" si="4"/>
        <v>-0.663294217410264</v>
      </c>
      <c r="Y83">
        <v>35</v>
      </c>
    </row>
    <row r="84" spans="1:25">
      <c r="A84" s="1">
        <v>96</v>
      </c>
      <c r="B84" t="s">
        <v>117</v>
      </c>
      <c r="C84" t="s">
        <v>160</v>
      </c>
      <c r="D84" t="s">
        <v>119</v>
      </c>
      <c r="E84" t="s">
        <v>120</v>
      </c>
      <c r="F84" t="s">
        <v>28</v>
      </c>
      <c r="G84">
        <v>35</v>
      </c>
      <c r="H84">
        <v>7</v>
      </c>
      <c r="I84">
        <v>0</v>
      </c>
      <c r="J84">
        <v>32</v>
      </c>
      <c r="K84">
        <v>14</v>
      </c>
      <c r="L84">
        <v>19</v>
      </c>
      <c r="M84">
        <v>20</v>
      </c>
      <c r="N84" t="s">
        <v>121</v>
      </c>
      <c r="O84" t="s">
        <v>122</v>
      </c>
      <c r="P84" t="s">
        <v>123</v>
      </c>
      <c r="Q84" t="s">
        <v>161</v>
      </c>
      <c r="R84" t="s">
        <v>125</v>
      </c>
      <c r="S84">
        <v>84</v>
      </c>
      <c r="T84">
        <v>97</v>
      </c>
      <c r="U84">
        <f t="shared" si="5"/>
        <v>-10.7155335156842</v>
      </c>
      <c r="V84">
        <f t="shared" si="6"/>
        <v>-1288.85416354152</v>
      </c>
      <c r="W84">
        <f t="shared" si="7"/>
        <v>-10715.5335156842</v>
      </c>
      <c r="X84">
        <f t="shared" si="4"/>
        <v>-4.18459144006988</v>
      </c>
      <c r="Y84">
        <v>35</v>
      </c>
    </row>
    <row r="85" spans="1:25">
      <c r="A85" s="1">
        <v>97</v>
      </c>
      <c r="B85" t="s">
        <v>117</v>
      </c>
      <c r="C85" t="s">
        <v>162</v>
      </c>
      <c r="D85" t="s">
        <v>119</v>
      </c>
      <c r="E85" t="s">
        <v>163</v>
      </c>
      <c r="F85" t="s">
        <v>28</v>
      </c>
      <c r="G85">
        <v>35</v>
      </c>
      <c r="H85">
        <v>7</v>
      </c>
      <c r="I85">
        <v>0</v>
      </c>
      <c r="J85">
        <v>32</v>
      </c>
      <c r="K85">
        <v>14</v>
      </c>
      <c r="L85">
        <v>19</v>
      </c>
      <c r="M85">
        <v>20</v>
      </c>
      <c r="N85" t="s">
        <v>121</v>
      </c>
      <c r="O85" t="s">
        <v>122</v>
      </c>
      <c r="P85" t="s">
        <v>123</v>
      </c>
      <c r="Q85" t="s">
        <v>161</v>
      </c>
      <c r="R85" t="s">
        <v>125</v>
      </c>
      <c r="S85">
        <v>77</v>
      </c>
      <c r="T85">
        <v>95</v>
      </c>
      <c r="U85">
        <f t="shared" si="5"/>
        <v>-9.38132626998394</v>
      </c>
      <c r="V85">
        <f t="shared" si="6"/>
        <v>-1128.37698700793</v>
      </c>
      <c r="W85">
        <f t="shared" si="7"/>
        <v>-9381.32626998394</v>
      </c>
      <c r="X85">
        <f t="shared" si="4"/>
        <v>-3.66356164612965</v>
      </c>
      <c r="Y85">
        <v>35</v>
      </c>
    </row>
    <row r="86" spans="1:25">
      <c r="A86" s="1">
        <v>98</v>
      </c>
      <c r="B86" t="s">
        <v>117</v>
      </c>
      <c r="C86" t="s">
        <v>164</v>
      </c>
      <c r="D86" t="s">
        <v>119</v>
      </c>
      <c r="E86" t="s">
        <v>165</v>
      </c>
      <c r="F86" t="s">
        <v>28</v>
      </c>
      <c r="G86">
        <v>35</v>
      </c>
      <c r="H86">
        <v>7</v>
      </c>
      <c r="I86">
        <v>0</v>
      </c>
      <c r="J86">
        <v>32</v>
      </c>
      <c r="K86">
        <v>14</v>
      </c>
      <c r="L86">
        <v>19</v>
      </c>
      <c r="M86">
        <v>20</v>
      </c>
      <c r="N86" t="s">
        <v>121</v>
      </c>
      <c r="O86" t="s">
        <v>122</v>
      </c>
      <c r="P86" t="s">
        <v>123</v>
      </c>
      <c r="Q86" t="s">
        <v>161</v>
      </c>
      <c r="R86" t="s">
        <v>125</v>
      </c>
      <c r="S86">
        <v>84</v>
      </c>
      <c r="T86">
        <v>96</v>
      </c>
      <c r="U86">
        <f t="shared" si="5"/>
        <v>-9.96583093921545</v>
      </c>
      <c r="V86">
        <f t="shared" si="6"/>
        <v>-1198.68065181807</v>
      </c>
      <c r="W86">
        <f t="shared" si="7"/>
        <v>-9965.83093921546</v>
      </c>
      <c r="X86">
        <f t="shared" si="4"/>
        <v>-3.89182029811063</v>
      </c>
      <c r="Y86">
        <v>35</v>
      </c>
    </row>
    <row r="87" spans="1:25">
      <c r="A87" s="1">
        <v>99</v>
      </c>
      <c r="B87" t="s">
        <v>117</v>
      </c>
      <c r="C87" t="s">
        <v>166</v>
      </c>
      <c r="D87" t="s">
        <v>119</v>
      </c>
      <c r="E87" t="s">
        <v>167</v>
      </c>
      <c r="F87" t="s">
        <v>28</v>
      </c>
      <c r="G87">
        <v>35</v>
      </c>
      <c r="H87">
        <v>7</v>
      </c>
      <c r="I87">
        <v>0</v>
      </c>
      <c r="J87">
        <v>32</v>
      </c>
      <c r="K87">
        <v>14</v>
      </c>
      <c r="L87">
        <v>19</v>
      </c>
      <c r="M87">
        <v>20</v>
      </c>
      <c r="N87" t="s">
        <v>121</v>
      </c>
      <c r="O87" t="s">
        <v>122</v>
      </c>
      <c r="P87" t="s">
        <v>123</v>
      </c>
      <c r="Q87" t="s">
        <v>161</v>
      </c>
      <c r="R87" t="s">
        <v>125</v>
      </c>
      <c r="S87">
        <v>63</v>
      </c>
      <c r="T87">
        <v>96</v>
      </c>
      <c r="U87">
        <f t="shared" si="5"/>
        <v>-9.96583093921545</v>
      </c>
      <c r="V87">
        <f t="shared" si="6"/>
        <v>-1198.68065181807</v>
      </c>
      <c r="W87">
        <f t="shared" si="7"/>
        <v>-9965.83093921546</v>
      </c>
      <c r="X87">
        <f t="shared" si="4"/>
        <v>-3.89182029811063</v>
      </c>
      <c r="Y87">
        <v>35</v>
      </c>
    </row>
    <row r="88" spans="1:25">
      <c r="A88" s="1">
        <v>100</v>
      </c>
      <c r="B88" t="s">
        <v>117</v>
      </c>
      <c r="C88" t="s">
        <v>168</v>
      </c>
      <c r="D88" t="s">
        <v>119</v>
      </c>
      <c r="E88" t="s">
        <v>169</v>
      </c>
      <c r="F88" t="s">
        <v>28</v>
      </c>
      <c r="G88">
        <v>35</v>
      </c>
      <c r="H88">
        <v>7</v>
      </c>
      <c r="I88">
        <v>0</v>
      </c>
      <c r="J88">
        <v>32</v>
      </c>
      <c r="K88">
        <v>14</v>
      </c>
      <c r="L88">
        <v>19</v>
      </c>
      <c r="M88">
        <v>20</v>
      </c>
      <c r="N88" t="s">
        <v>121</v>
      </c>
      <c r="O88" t="s">
        <v>122</v>
      </c>
      <c r="P88" t="s">
        <v>123</v>
      </c>
      <c r="Q88" t="s">
        <v>161</v>
      </c>
      <c r="R88" t="s">
        <v>125</v>
      </c>
      <c r="S88">
        <v>50</v>
      </c>
      <c r="T88">
        <v>95</v>
      </c>
      <c r="U88">
        <f t="shared" si="5"/>
        <v>-9.38132626998394</v>
      </c>
      <c r="V88">
        <f t="shared" si="6"/>
        <v>-1128.37698700793</v>
      </c>
      <c r="W88">
        <f t="shared" si="7"/>
        <v>-9381.32626998394</v>
      </c>
      <c r="X88">
        <f t="shared" si="4"/>
        <v>-3.66356164612965</v>
      </c>
      <c r="Y88">
        <v>35</v>
      </c>
    </row>
    <row r="89" spans="1:25">
      <c r="A89" s="1">
        <v>101</v>
      </c>
      <c r="B89" t="s">
        <v>117</v>
      </c>
      <c r="C89" t="s">
        <v>170</v>
      </c>
      <c r="D89" t="s">
        <v>119</v>
      </c>
      <c r="E89" t="s">
        <v>171</v>
      </c>
      <c r="F89" t="s">
        <v>28</v>
      </c>
      <c r="G89">
        <v>35</v>
      </c>
      <c r="H89">
        <v>7</v>
      </c>
      <c r="I89">
        <v>0</v>
      </c>
      <c r="J89">
        <v>32</v>
      </c>
      <c r="K89">
        <v>14</v>
      </c>
      <c r="L89">
        <v>19</v>
      </c>
      <c r="M89">
        <v>20</v>
      </c>
      <c r="N89" t="s">
        <v>121</v>
      </c>
      <c r="O89" t="s">
        <v>122</v>
      </c>
      <c r="P89" t="s">
        <v>123</v>
      </c>
      <c r="Q89" t="s">
        <v>161</v>
      </c>
      <c r="R89" t="s">
        <v>125</v>
      </c>
      <c r="S89">
        <v>77</v>
      </c>
      <c r="T89">
        <v>91</v>
      </c>
      <c r="U89">
        <f t="shared" si="5"/>
        <v>-7.82310025260036</v>
      </c>
      <c r="V89">
        <f t="shared" si="6"/>
        <v>-940.955046018807</v>
      </c>
      <c r="W89">
        <f t="shared" si="7"/>
        <v>-7823.10025260036</v>
      </c>
      <c r="X89">
        <f t="shared" si="4"/>
        <v>-3.05504885071041</v>
      </c>
      <c r="Y89">
        <v>35</v>
      </c>
    </row>
    <row r="90" spans="1:25">
      <c r="A90" s="1">
        <v>102</v>
      </c>
      <c r="B90" t="s">
        <v>117</v>
      </c>
      <c r="C90" t="s">
        <v>172</v>
      </c>
      <c r="D90" t="s">
        <v>119</v>
      </c>
      <c r="E90" t="s">
        <v>173</v>
      </c>
      <c r="F90" t="s">
        <v>28</v>
      </c>
      <c r="G90">
        <v>35</v>
      </c>
      <c r="H90">
        <v>7</v>
      </c>
      <c r="I90">
        <v>0</v>
      </c>
      <c r="J90">
        <v>32</v>
      </c>
      <c r="K90">
        <v>14</v>
      </c>
      <c r="L90">
        <v>19</v>
      </c>
      <c r="M90">
        <v>20</v>
      </c>
      <c r="N90" t="s">
        <v>121</v>
      </c>
      <c r="O90" t="s">
        <v>122</v>
      </c>
      <c r="P90" t="s">
        <v>123</v>
      </c>
      <c r="Q90" t="s">
        <v>161</v>
      </c>
      <c r="R90" t="s">
        <v>125</v>
      </c>
      <c r="S90">
        <v>77</v>
      </c>
      <c r="T90">
        <v>97</v>
      </c>
      <c r="U90">
        <f t="shared" si="5"/>
        <v>-10.7155335156842</v>
      </c>
      <c r="V90">
        <f t="shared" si="6"/>
        <v>-1288.85416354152</v>
      </c>
      <c r="W90">
        <f t="shared" si="7"/>
        <v>-10715.5335156842</v>
      </c>
      <c r="X90">
        <f t="shared" si="4"/>
        <v>-4.18459144006988</v>
      </c>
      <c r="Y90">
        <v>35</v>
      </c>
    </row>
    <row r="91" spans="1:25">
      <c r="A91" s="1">
        <v>103</v>
      </c>
      <c r="B91" t="s">
        <v>117</v>
      </c>
      <c r="C91" t="s">
        <v>174</v>
      </c>
      <c r="D91" t="s">
        <v>119</v>
      </c>
      <c r="E91" t="s">
        <v>175</v>
      </c>
      <c r="F91" t="s">
        <v>28</v>
      </c>
      <c r="G91">
        <v>35</v>
      </c>
      <c r="H91">
        <v>7</v>
      </c>
      <c r="I91">
        <v>0</v>
      </c>
      <c r="J91">
        <v>32</v>
      </c>
      <c r="K91">
        <v>14</v>
      </c>
      <c r="L91">
        <v>19</v>
      </c>
      <c r="M91">
        <v>20</v>
      </c>
      <c r="N91" t="s">
        <v>121</v>
      </c>
      <c r="O91" t="s">
        <v>122</v>
      </c>
      <c r="P91" t="s">
        <v>123</v>
      </c>
      <c r="Q91" t="s">
        <v>161</v>
      </c>
      <c r="R91" t="s">
        <v>125</v>
      </c>
      <c r="S91">
        <v>63</v>
      </c>
      <c r="T91">
        <v>94</v>
      </c>
      <c r="U91">
        <f t="shared" si="5"/>
        <v>-8.90128762824547</v>
      </c>
      <c r="V91">
        <f t="shared" si="6"/>
        <v>-1070.63839646926</v>
      </c>
      <c r="W91">
        <f t="shared" si="7"/>
        <v>-8901.28762824547</v>
      </c>
      <c r="X91">
        <f t="shared" si="4"/>
        <v>-3.47609868983527</v>
      </c>
      <c r="Y91">
        <v>35</v>
      </c>
    </row>
    <row r="92" spans="1:25">
      <c r="A92" s="1">
        <v>104</v>
      </c>
      <c r="B92" t="s">
        <v>117</v>
      </c>
      <c r="C92" t="s">
        <v>176</v>
      </c>
      <c r="D92" t="s">
        <v>119</v>
      </c>
      <c r="E92" t="s">
        <v>177</v>
      </c>
      <c r="F92" t="s">
        <v>28</v>
      </c>
      <c r="G92">
        <v>35</v>
      </c>
      <c r="H92">
        <v>7</v>
      </c>
      <c r="I92">
        <v>0</v>
      </c>
      <c r="J92">
        <v>32</v>
      </c>
      <c r="K92">
        <v>14</v>
      </c>
      <c r="L92">
        <v>19</v>
      </c>
      <c r="M92">
        <v>20</v>
      </c>
      <c r="N92" t="s">
        <v>121</v>
      </c>
      <c r="O92" t="s">
        <v>122</v>
      </c>
      <c r="P92" t="s">
        <v>123</v>
      </c>
      <c r="Q92" t="s">
        <v>161</v>
      </c>
      <c r="R92" t="s">
        <v>125</v>
      </c>
      <c r="S92">
        <v>77</v>
      </c>
      <c r="T92">
        <v>92</v>
      </c>
      <c r="U92">
        <f t="shared" si="5"/>
        <v>-8.13808058001795</v>
      </c>
      <c r="V92">
        <f t="shared" si="6"/>
        <v>-978.840579747167</v>
      </c>
      <c r="W92">
        <f t="shared" si="7"/>
        <v>-8138.08058001795</v>
      </c>
      <c r="X92">
        <f t="shared" si="4"/>
        <v>-3.17805383034795</v>
      </c>
      <c r="Y92">
        <v>35</v>
      </c>
    </row>
    <row r="93" spans="1:25">
      <c r="A93" s="1">
        <v>105</v>
      </c>
      <c r="B93" t="s">
        <v>117</v>
      </c>
      <c r="C93" t="s">
        <v>178</v>
      </c>
      <c r="D93" t="s">
        <v>119</v>
      </c>
      <c r="E93" t="s">
        <v>179</v>
      </c>
      <c r="F93" t="s">
        <v>28</v>
      </c>
      <c r="G93">
        <v>35</v>
      </c>
      <c r="H93">
        <v>7</v>
      </c>
      <c r="I93">
        <v>0</v>
      </c>
      <c r="J93">
        <v>32</v>
      </c>
      <c r="K93">
        <v>14</v>
      </c>
      <c r="L93">
        <v>19</v>
      </c>
      <c r="M93">
        <v>20</v>
      </c>
      <c r="N93" t="s">
        <v>121</v>
      </c>
      <c r="O93" t="s">
        <v>122</v>
      </c>
      <c r="P93" t="s">
        <v>123</v>
      </c>
      <c r="Q93" t="s">
        <v>161</v>
      </c>
      <c r="R93" t="s">
        <v>125</v>
      </c>
      <c r="S93">
        <v>67</v>
      </c>
      <c r="T93">
        <v>95</v>
      </c>
      <c r="U93">
        <f t="shared" si="5"/>
        <v>-9.38132626998394</v>
      </c>
      <c r="V93">
        <f t="shared" si="6"/>
        <v>-1128.37698700793</v>
      </c>
      <c r="W93">
        <f t="shared" si="7"/>
        <v>-9381.32626998394</v>
      </c>
      <c r="X93">
        <f t="shared" si="4"/>
        <v>-3.66356164612965</v>
      </c>
      <c r="Y93">
        <v>35</v>
      </c>
    </row>
    <row r="94" spans="1:25">
      <c r="A94" s="1">
        <v>106</v>
      </c>
      <c r="B94" t="s">
        <v>117</v>
      </c>
      <c r="C94" t="s">
        <v>180</v>
      </c>
      <c r="D94" t="s">
        <v>119</v>
      </c>
      <c r="E94" t="s">
        <v>181</v>
      </c>
      <c r="F94" t="s">
        <v>28</v>
      </c>
      <c r="G94">
        <v>35</v>
      </c>
      <c r="H94">
        <v>7</v>
      </c>
      <c r="I94">
        <v>0</v>
      </c>
      <c r="J94">
        <v>32</v>
      </c>
      <c r="K94">
        <v>14</v>
      </c>
      <c r="L94">
        <v>19</v>
      </c>
      <c r="M94">
        <v>20</v>
      </c>
      <c r="N94" t="s">
        <v>121</v>
      </c>
      <c r="O94" t="s">
        <v>122</v>
      </c>
      <c r="P94" t="s">
        <v>123</v>
      </c>
      <c r="Q94" t="s">
        <v>161</v>
      </c>
      <c r="R94" t="s">
        <v>125</v>
      </c>
      <c r="S94">
        <v>48</v>
      </c>
      <c r="T94">
        <v>97</v>
      </c>
      <c r="U94">
        <f t="shared" si="5"/>
        <v>-10.7155335156842</v>
      </c>
      <c r="V94">
        <f t="shared" si="6"/>
        <v>-1288.85416354152</v>
      </c>
      <c r="W94">
        <f t="shared" si="7"/>
        <v>-10715.5335156842</v>
      </c>
      <c r="X94">
        <f t="shared" si="4"/>
        <v>-4.18459144006988</v>
      </c>
      <c r="Y94">
        <v>35</v>
      </c>
    </row>
    <row r="95" spans="1:25">
      <c r="A95" s="1">
        <v>107</v>
      </c>
      <c r="B95" t="s">
        <v>117</v>
      </c>
      <c r="C95" t="s">
        <v>182</v>
      </c>
      <c r="D95" t="s">
        <v>119</v>
      </c>
      <c r="E95" t="s">
        <v>55</v>
      </c>
      <c r="F95" t="s">
        <v>28</v>
      </c>
      <c r="G95">
        <v>35</v>
      </c>
      <c r="H95">
        <v>7</v>
      </c>
      <c r="I95">
        <v>0</v>
      </c>
      <c r="J95">
        <v>32</v>
      </c>
      <c r="K95">
        <v>14</v>
      </c>
      <c r="L95">
        <v>19</v>
      </c>
      <c r="M95">
        <v>20</v>
      </c>
      <c r="N95" t="s">
        <v>121</v>
      </c>
      <c r="O95" t="s">
        <v>122</v>
      </c>
      <c r="P95" t="s">
        <v>123</v>
      </c>
      <c r="Q95" t="s">
        <v>161</v>
      </c>
      <c r="R95" t="s">
        <v>125</v>
      </c>
      <c r="S95">
        <v>36</v>
      </c>
      <c r="T95">
        <v>93</v>
      </c>
      <c r="U95">
        <f t="shared" si="5"/>
        <v>-8.49331844940328</v>
      </c>
      <c r="V95">
        <f t="shared" si="6"/>
        <v>-1021.56825227367</v>
      </c>
      <c r="W95">
        <f t="shared" si="7"/>
        <v>-8493.31844940328</v>
      </c>
      <c r="X95">
        <f t="shared" si="4"/>
        <v>-3.31678003984957</v>
      </c>
      <c r="Y95">
        <v>35</v>
      </c>
    </row>
    <row r="96" spans="1:25">
      <c r="A96" s="1">
        <v>108</v>
      </c>
      <c r="B96" t="s">
        <v>117</v>
      </c>
      <c r="C96" t="s">
        <v>183</v>
      </c>
      <c r="D96" t="s">
        <v>119</v>
      </c>
      <c r="E96" t="s">
        <v>184</v>
      </c>
      <c r="F96" t="s">
        <v>28</v>
      </c>
      <c r="G96">
        <v>35</v>
      </c>
      <c r="H96">
        <v>7</v>
      </c>
      <c r="I96">
        <v>0</v>
      </c>
      <c r="J96">
        <v>32</v>
      </c>
      <c r="K96">
        <v>14</v>
      </c>
      <c r="L96">
        <v>19</v>
      </c>
      <c r="M96">
        <v>20</v>
      </c>
      <c r="N96" t="s">
        <v>121</v>
      </c>
      <c r="O96" t="s">
        <v>122</v>
      </c>
      <c r="P96" t="s">
        <v>123</v>
      </c>
      <c r="Q96" t="s">
        <v>161</v>
      </c>
      <c r="R96" t="s">
        <v>125</v>
      </c>
      <c r="S96">
        <v>79</v>
      </c>
      <c r="T96">
        <v>97</v>
      </c>
      <c r="U96">
        <f t="shared" si="5"/>
        <v>-10.7155335156842</v>
      </c>
      <c r="V96">
        <f t="shared" si="6"/>
        <v>-1288.85416354152</v>
      </c>
      <c r="W96">
        <f t="shared" si="7"/>
        <v>-10715.5335156842</v>
      </c>
      <c r="X96">
        <f t="shared" si="4"/>
        <v>-4.18459144006988</v>
      </c>
      <c r="Y96">
        <v>35</v>
      </c>
    </row>
    <row r="97" spans="1:25">
      <c r="A97" s="1">
        <v>109</v>
      </c>
      <c r="B97" t="s">
        <v>117</v>
      </c>
      <c r="C97" t="s">
        <v>185</v>
      </c>
      <c r="D97" t="s">
        <v>119</v>
      </c>
      <c r="E97" t="s">
        <v>186</v>
      </c>
      <c r="F97" t="s">
        <v>28</v>
      </c>
      <c r="G97">
        <v>35</v>
      </c>
      <c r="H97">
        <v>7</v>
      </c>
      <c r="I97">
        <v>0</v>
      </c>
      <c r="J97">
        <v>32</v>
      </c>
      <c r="K97">
        <v>14</v>
      </c>
      <c r="L97">
        <v>19</v>
      </c>
      <c r="M97">
        <v>20</v>
      </c>
      <c r="N97" t="s">
        <v>121</v>
      </c>
      <c r="O97" t="s">
        <v>122</v>
      </c>
      <c r="P97" t="s">
        <v>123</v>
      </c>
      <c r="Q97" t="s">
        <v>161</v>
      </c>
      <c r="R97" t="s">
        <v>125</v>
      </c>
      <c r="S97">
        <v>58</v>
      </c>
      <c r="T97">
        <v>97</v>
      </c>
      <c r="U97">
        <f t="shared" si="5"/>
        <v>-10.7155335156842</v>
      </c>
      <c r="V97">
        <f t="shared" si="6"/>
        <v>-1288.85416354152</v>
      </c>
      <c r="W97">
        <f t="shared" si="7"/>
        <v>-10715.5335156842</v>
      </c>
      <c r="X97">
        <f t="shared" si="4"/>
        <v>-4.18459144006988</v>
      </c>
      <c r="Y97">
        <v>35</v>
      </c>
    </row>
    <row r="98" spans="1:25">
      <c r="A98" s="1">
        <v>110</v>
      </c>
      <c r="B98" t="s">
        <v>117</v>
      </c>
      <c r="C98" t="s">
        <v>187</v>
      </c>
      <c r="D98" t="s">
        <v>119</v>
      </c>
      <c r="E98" t="s">
        <v>188</v>
      </c>
      <c r="F98" t="s">
        <v>28</v>
      </c>
      <c r="G98">
        <v>35</v>
      </c>
      <c r="H98">
        <v>7</v>
      </c>
      <c r="I98">
        <v>0</v>
      </c>
      <c r="J98">
        <v>32</v>
      </c>
      <c r="K98">
        <v>14</v>
      </c>
      <c r="L98">
        <v>19</v>
      </c>
      <c r="M98">
        <v>20</v>
      </c>
      <c r="N98" t="s">
        <v>121</v>
      </c>
      <c r="O98" t="s">
        <v>122</v>
      </c>
      <c r="P98" t="s">
        <v>123</v>
      </c>
      <c r="Q98" t="s">
        <v>161</v>
      </c>
      <c r="R98" t="s">
        <v>125</v>
      </c>
      <c r="S98">
        <v>69</v>
      </c>
      <c r="T98">
        <v>94</v>
      </c>
      <c r="U98">
        <f t="shared" si="5"/>
        <v>-8.90128762824547</v>
      </c>
      <c r="V98">
        <f t="shared" si="6"/>
        <v>-1070.63839646926</v>
      </c>
      <c r="W98">
        <f t="shared" si="7"/>
        <v>-8901.28762824547</v>
      </c>
      <c r="X98">
        <f t="shared" si="4"/>
        <v>-3.47609868983527</v>
      </c>
      <c r="Y98">
        <v>35</v>
      </c>
    </row>
    <row r="99" spans="1:25">
      <c r="A99" s="1">
        <v>111</v>
      </c>
      <c r="B99" t="s">
        <v>117</v>
      </c>
      <c r="C99" t="s">
        <v>189</v>
      </c>
      <c r="D99" t="s">
        <v>119</v>
      </c>
      <c r="E99" t="s">
        <v>65</v>
      </c>
      <c r="F99" t="s">
        <v>28</v>
      </c>
      <c r="G99">
        <v>35</v>
      </c>
      <c r="H99">
        <v>7</v>
      </c>
      <c r="I99">
        <v>0</v>
      </c>
      <c r="J99">
        <v>32</v>
      </c>
      <c r="K99">
        <v>14</v>
      </c>
      <c r="L99">
        <v>19</v>
      </c>
      <c r="M99">
        <v>20</v>
      </c>
      <c r="N99" t="s">
        <v>121</v>
      </c>
      <c r="O99" t="s">
        <v>122</v>
      </c>
      <c r="P99" t="s">
        <v>123</v>
      </c>
      <c r="Q99" t="s">
        <v>161</v>
      </c>
      <c r="R99" t="s">
        <v>125</v>
      </c>
      <c r="S99">
        <v>20</v>
      </c>
      <c r="T99">
        <v>78</v>
      </c>
      <c r="U99">
        <f t="shared" si="5"/>
        <v>-5.35378581581147</v>
      </c>
      <c r="V99">
        <f t="shared" si="6"/>
        <v>-643.948257855601</v>
      </c>
      <c r="W99">
        <f t="shared" si="7"/>
        <v>-5353.78581581147</v>
      </c>
      <c r="X99">
        <f t="shared" si="4"/>
        <v>-2.09074109693377</v>
      </c>
      <c r="Y99">
        <v>35</v>
      </c>
    </row>
    <row r="100" spans="1:25">
      <c r="A100" s="1">
        <v>112</v>
      </c>
      <c r="B100" t="s">
        <v>117</v>
      </c>
      <c r="C100" t="s">
        <v>190</v>
      </c>
      <c r="D100" t="s">
        <v>119</v>
      </c>
      <c r="E100" t="s">
        <v>191</v>
      </c>
      <c r="F100" t="s">
        <v>28</v>
      </c>
      <c r="G100">
        <v>35</v>
      </c>
      <c r="H100">
        <v>7</v>
      </c>
      <c r="I100">
        <v>0</v>
      </c>
      <c r="J100">
        <v>32</v>
      </c>
      <c r="K100">
        <v>14</v>
      </c>
      <c r="L100">
        <v>19</v>
      </c>
      <c r="M100">
        <v>20</v>
      </c>
      <c r="N100" t="s">
        <v>121</v>
      </c>
      <c r="O100" t="s">
        <v>122</v>
      </c>
      <c r="P100" t="s">
        <v>123</v>
      </c>
      <c r="Q100" t="s">
        <v>161</v>
      </c>
      <c r="R100" t="s">
        <v>125</v>
      </c>
      <c r="S100">
        <v>28</v>
      </c>
      <c r="T100">
        <v>83</v>
      </c>
      <c r="U100">
        <f t="shared" si="5"/>
        <v>-6.08495029672998</v>
      </c>
      <c r="V100">
        <f t="shared" si="6"/>
        <v>-731.892025105843</v>
      </c>
      <c r="W100">
        <f t="shared" si="7"/>
        <v>-6084.95029672998</v>
      </c>
      <c r="X100">
        <f t="shared" si="4"/>
        <v>-2.37627280878521</v>
      </c>
      <c r="Y100">
        <v>35</v>
      </c>
    </row>
    <row r="101" spans="1:25">
      <c r="A101" s="1">
        <v>113</v>
      </c>
      <c r="B101" t="s">
        <v>117</v>
      </c>
      <c r="C101" t="s">
        <v>192</v>
      </c>
      <c r="D101" t="s">
        <v>193</v>
      </c>
      <c r="E101" t="s">
        <v>120</v>
      </c>
      <c r="F101" t="s">
        <v>28</v>
      </c>
      <c r="G101">
        <v>35</v>
      </c>
      <c r="H101">
        <v>7</v>
      </c>
      <c r="I101">
        <v>0</v>
      </c>
      <c r="J101">
        <v>32</v>
      </c>
      <c r="K101">
        <v>14</v>
      </c>
      <c r="L101">
        <v>19</v>
      </c>
      <c r="M101">
        <v>20</v>
      </c>
      <c r="N101" t="s">
        <v>121</v>
      </c>
      <c r="O101" t="s">
        <v>122</v>
      </c>
      <c r="P101" t="s">
        <v>123</v>
      </c>
      <c r="Q101" t="s">
        <v>161</v>
      </c>
      <c r="R101" t="s">
        <v>125</v>
      </c>
      <c r="S101">
        <v>62</v>
      </c>
      <c r="T101">
        <v>97</v>
      </c>
      <c r="U101">
        <f t="shared" si="5"/>
        <v>-10.7155335156842</v>
      </c>
      <c r="V101">
        <f t="shared" si="6"/>
        <v>-1288.85416354152</v>
      </c>
      <c r="W101">
        <f t="shared" si="7"/>
        <v>-10715.5335156842</v>
      </c>
      <c r="X101">
        <f t="shared" si="4"/>
        <v>-4.18459144006988</v>
      </c>
      <c r="Y101">
        <v>35</v>
      </c>
    </row>
    <row r="102" spans="1:25">
      <c r="A102" s="1">
        <v>114</v>
      </c>
      <c r="B102" t="s">
        <v>117</v>
      </c>
      <c r="C102" t="s">
        <v>194</v>
      </c>
      <c r="D102" t="s">
        <v>195</v>
      </c>
      <c r="E102" t="s">
        <v>120</v>
      </c>
      <c r="F102" t="s">
        <v>28</v>
      </c>
      <c r="G102">
        <v>35</v>
      </c>
      <c r="H102">
        <v>7</v>
      </c>
      <c r="I102">
        <v>63</v>
      </c>
      <c r="J102">
        <v>32</v>
      </c>
      <c r="K102">
        <v>14</v>
      </c>
      <c r="L102">
        <v>19</v>
      </c>
      <c r="M102">
        <v>20</v>
      </c>
      <c r="N102" t="s">
        <v>196</v>
      </c>
      <c r="O102" t="s">
        <v>122</v>
      </c>
      <c r="P102" t="s">
        <v>123</v>
      </c>
      <c r="Q102" t="s">
        <v>161</v>
      </c>
      <c r="R102" t="s">
        <v>125</v>
      </c>
      <c r="S102">
        <v>37</v>
      </c>
      <c r="T102">
        <v>95</v>
      </c>
      <c r="U102">
        <f t="shared" si="5"/>
        <v>-9.38132626998394</v>
      </c>
      <c r="V102">
        <f t="shared" si="6"/>
        <v>-1128.37698700793</v>
      </c>
      <c r="W102">
        <f t="shared" si="7"/>
        <v>-9381.32626998394</v>
      </c>
      <c r="X102">
        <f t="shared" si="4"/>
        <v>-3.66356164612965</v>
      </c>
      <c r="Y102">
        <v>35</v>
      </c>
    </row>
    <row r="103" spans="1:25">
      <c r="A103" s="1">
        <v>115</v>
      </c>
      <c r="B103" t="s">
        <v>117</v>
      </c>
      <c r="C103" t="s">
        <v>197</v>
      </c>
      <c r="D103" t="s">
        <v>198</v>
      </c>
      <c r="E103" t="s">
        <v>120</v>
      </c>
      <c r="F103" t="s">
        <v>28</v>
      </c>
      <c r="G103">
        <v>35</v>
      </c>
      <c r="H103">
        <v>7</v>
      </c>
      <c r="I103">
        <v>0</v>
      </c>
      <c r="J103">
        <v>32</v>
      </c>
      <c r="K103">
        <v>14</v>
      </c>
      <c r="L103">
        <v>19</v>
      </c>
      <c r="M103">
        <v>20</v>
      </c>
      <c r="N103" t="s">
        <v>121</v>
      </c>
      <c r="O103" t="s">
        <v>122</v>
      </c>
      <c r="P103" t="s">
        <v>123</v>
      </c>
      <c r="Q103" t="s">
        <v>161</v>
      </c>
      <c r="R103" t="s">
        <v>125</v>
      </c>
      <c r="S103">
        <v>67</v>
      </c>
      <c r="T103">
        <v>97</v>
      </c>
      <c r="U103">
        <f t="shared" si="5"/>
        <v>-10.7155335156842</v>
      </c>
      <c r="V103">
        <f t="shared" si="6"/>
        <v>-1288.85416354152</v>
      </c>
      <c r="W103">
        <f t="shared" si="7"/>
        <v>-10715.5335156842</v>
      </c>
      <c r="X103">
        <f t="shared" si="4"/>
        <v>-4.18459144006988</v>
      </c>
      <c r="Y103">
        <v>35</v>
      </c>
    </row>
    <row r="104" spans="1:25">
      <c r="A104" s="1">
        <v>116</v>
      </c>
      <c r="B104" t="s">
        <v>117</v>
      </c>
      <c r="C104" t="s">
        <v>199</v>
      </c>
      <c r="D104" t="s">
        <v>200</v>
      </c>
      <c r="E104" t="s">
        <v>120</v>
      </c>
      <c r="F104" t="s">
        <v>28</v>
      </c>
      <c r="G104">
        <v>35</v>
      </c>
      <c r="H104">
        <v>7</v>
      </c>
      <c r="I104">
        <v>0</v>
      </c>
      <c r="J104">
        <v>32</v>
      </c>
      <c r="K104">
        <v>14</v>
      </c>
      <c r="L104">
        <v>19</v>
      </c>
      <c r="M104">
        <v>20</v>
      </c>
      <c r="N104" t="s">
        <v>121</v>
      </c>
      <c r="O104" t="s">
        <v>122</v>
      </c>
      <c r="P104" t="s">
        <v>123</v>
      </c>
      <c r="Q104" t="s">
        <v>161</v>
      </c>
      <c r="R104" t="s">
        <v>125</v>
      </c>
      <c r="S104">
        <v>64</v>
      </c>
      <c r="T104">
        <v>95</v>
      </c>
      <c r="U104">
        <f t="shared" si="5"/>
        <v>-9.38132626998394</v>
      </c>
      <c r="V104">
        <f t="shared" si="6"/>
        <v>-1128.37698700793</v>
      </c>
      <c r="W104">
        <f t="shared" si="7"/>
        <v>-9381.32626998394</v>
      </c>
      <c r="X104">
        <f t="shared" si="4"/>
        <v>-3.66356164612965</v>
      </c>
      <c r="Y104">
        <v>35</v>
      </c>
    </row>
    <row r="105" spans="1:25">
      <c r="A105" s="1">
        <v>117</v>
      </c>
      <c r="B105" t="s">
        <v>117</v>
      </c>
      <c r="C105" t="s">
        <v>201</v>
      </c>
      <c r="D105" t="s">
        <v>202</v>
      </c>
      <c r="E105" t="s">
        <v>120</v>
      </c>
      <c r="F105" t="s">
        <v>28</v>
      </c>
      <c r="G105">
        <v>35</v>
      </c>
      <c r="H105">
        <v>7</v>
      </c>
      <c r="I105">
        <v>0</v>
      </c>
      <c r="J105">
        <v>32</v>
      </c>
      <c r="K105">
        <v>14</v>
      </c>
      <c r="L105">
        <v>19</v>
      </c>
      <c r="M105">
        <v>20</v>
      </c>
      <c r="N105" t="s">
        <v>121</v>
      </c>
      <c r="O105" t="s">
        <v>122</v>
      </c>
      <c r="P105" t="s">
        <v>123</v>
      </c>
      <c r="Q105" t="s">
        <v>161</v>
      </c>
      <c r="R105" t="s">
        <v>125</v>
      </c>
      <c r="S105">
        <v>58</v>
      </c>
      <c r="T105">
        <v>88</v>
      </c>
      <c r="U105">
        <f t="shared" si="5"/>
        <v>-7.04588949453028</v>
      </c>
      <c r="V105">
        <f t="shared" si="6"/>
        <v>-847.47287641692</v>
      </c>
      <c r="W105">
        <f t="shared" si="7"/>
        <v>-7045.88949453028</v>
      </c>
      <c r="X105">
        <f t="shared" si="4"/>
        <v>-2.75153531304195</v>
      </c>
      <c r="Y105">
        <v>35</v>
      </c>
    </row>
    <row r="106" spans="1:25">
      <c r="A106" s="1">
        <v>118</v>
      </c>
      <c r="B106" t="s">
        <v>126</v>
      </c>
      <c r="C106" t="s">
        <v>203</v>
      </c>
      <c r="D106" t="s">
        <v>204</v>
      </c>
      <c r="E106" t="s">
        <v>120</v>
      </c>
      <c r="F106" t="s">
        <v>28</v>
      </c>
      <c r="G106">
        <v>35</v>
      </c>
      <c r="H106">
        <v>7</v>
      </c>
      <c r="I106">
        <v>0</v>
      </c>
      <c r="J106">
        <v>32</v>
      </c>
      <c r="K106">
        <v>14</v>
      </c>
      <c r="L106">
        <v>19</v>
      </c>
      <c r="M106">
        <v>20</v>
      </c>
      <c r="N106" t="s">
        <v>121</v>
      </c>
      <c r="O106" t="s">
        <v>122</v>
      </c>
      <c r="P106" t="s">
        <v>123</v>
      </c>
      <c r="Q106" t="s">
        <v>161</v>
      </c>
      <c r="R106" t="s">
        <v>125</v>
      </c>
      <c r="S106">
        <v>78</v>
      </c>
      <c r="T106">
        <v>66</v>
      </c>
      <c r="U106">
        <f t="shared" si="5"/>
        <v>-4.06033476178716</v>
      </c>
      <c r="V106">
        <f t="shared" si="6"/>
        <v>-488.373197232038</v>
      </c>
      <c r="W106">
        <f t="shared" si="7"/>
        <v>-4060.33476178716</v>
      </c>
      <c r="X106">
        <f t="shared" si="4"/>
        <v>-1.58562726374038</v>
      </c>
      <c r="Y106">
        <v>35</v>
      </c>
    </row>
    <row r="107" spans="1:25">
      <c r="A107" s="1">
        <v>119</v>
      </c>
      <c r="B107" t="s">
        <v>126</v>
      </c>
      <c r="C107" t="s">
        <v>205</v>
      </c>
      <c r="D107" t="s">
        <v>206</v>
      </c>
      <c r="E107" t="s">
        <v>120</v>
      </c>
      <c r="F107" t="s">
        <v>28</v>
      </c>
      <c r="G107">
        <v>35</v>
      </c>
      <c r="H107">
        <v>7</v>
      </c>
      <c r="I107">
        <v>9</v>
      </c>
      <c r="J107">
        <v>32</v>
      </c>
      <c r="K107">
        <v>14</v>
      </c>
      <c r="L107">
        <v>19</v>
      </c>
      <c r="M107">
        <v>20</v>
      </c>
      <c r="N107" t="s">
        <v>207</v>
      </c>
      <c r="O107" t="s">
        <v>122</v>
      </c>
      <c r="P107" t="s">
        <v>123</v>
      </c>
      <c r="Q107" t="s">
        <v>161</v>
      </c>
      <c r="R107" t="s">
        <v>125</v>
      </c>
      <c r="S107">
        <v>59</v>
      </c>
      <c r="T107">
        <v>95</v>
      </c>
      <c r="U107">
        <f t="shared" si="5"/>
        <v>-9.38132626998394</v>
      </c>
      <c r="V107">
        <f t="shared" si="6"/>
        <v>-1128.37698700793</v>
      </c>
      <c r="W107">
        <f t="shared" si="7"/>
        <v>-9381.32626998394</v>
      </c>
      <c r="X107">
        <f t="shared" si="4"/>
        <v>-3.66356164612965</v>
      </c>
      <c r="Y107">
        <v>35</v>
      </c>
    </row>
    <row r="108" spans="1:25">
      <c r="A108" s="1">
        <v>120</v>
      </c>
      <c r="B108" t="s">
        <v>126</v>
      </c>
      <c r="C108" t="s">
        <v>208</v>
      </c>
      <c r="D108" t="s">
        <v>209</v>
      </c>
      <c r="E108" t="s">
        <v>120</v>
      </c>
      <c r="F108" t="s">
        <v>28</v>
      </c>
      <c r="G108">
        <v>35</v>
      </c>
      <c r="H108">
        <v>7</v>
      </c>
      <c r="I108">
        <v>0</v>
      </c>
      <c r="J108">
        <v>32</v>
      </c>
      <c r="K108">
        <v>14</v>
      </c>
      <c r="L108">
        <v>19</v>
      </c>
      <c r="M108">
        <v>20</v>
      </c>
      <c r="N108" t="s">
        <v>121</v>
      </c>
      <c r="O108" t="s">
        <v>122</v>
      </c>
      <c r="P108" t="s">
        <v>123</v>
      </c>
      <c r="Q108" t="s">
        <v>161</v>
      </c>
      <c r="R108" t="s">
        <v>125</v>
      </c>
      <c r="S108">
        <v>70</v>
      </c>
      <c r="T108">
        <v>80</v>
      </c>
      <c r="U108">
        <f t="shared" si="5"/>
        <v>-5.62645934187978</v>
      </c>
      <c r="V108">
        <f t="shared" si="6"/>
        <v>-676.745169819556</v>
      </c>
      <c r="W108">
        <f t="shared" si="7"/>
        <v>-5626.45934187978</v>
      </c>
      <c r="X108">
        <f t="shared" si="4"/>
        <v>-2.19722457733622</v>
      </c>
      <c r="Y108">
        <v>35</v>
      </c>
    </row>
    <row r="109" spans="1:25">
      <c r="A109" s="1">
        <v>121</v>
      </c>
      <c r="B109" t="s">
        <v>126</v>
      </c>
      <c r="C109" t="s">
        <v>210</v>
      </c>
      <c r="D109" t="s">
        <v>211</v>
      </c>
      <c r="E109" t="s">
        <v>120</v>
      </c>
      <c r="F109" t="s">
        <v>28</v>
      </c>
      <c r="G109">
        <v>35</v>
      </c>
      <c r="H109">
        <v>7</v>
      </c>
      <c r="I109">
        <v>9</v>
      </c>
      <c r="J109">
        <v>32</v>
      </c>
      <c r="K109">
        <v>14</v>
      </c>
      <c r="L109">
        <v>19</v>
      </c>
      <c r="M109">
        <v>20</v>
      </c>
      <c r="N109" t="s">
        <v>207</v>
      </c>
      <c r="O109" t="s">
        <v>122</v>
      </c>
      <c r="P109" t="s">
        <v>123</v>
      </c>
      <c r="Q109" t="s">
        <v>161</v>
      </c>
      <c r="R109" t="s">
        <v>125</v>
      </c>
      <c r="S109">
        <v>46</v>
      </c>
      <c r="T109">
        <v>83</v>
      </c>
      <c r="U109">
        <f t="shared" si="5"/>
        <v>-6.08495029672998</v>
      </c>
      <c r="V109">
        <f t="shared" si="6"/>
        <v>-731.892025105843</v>
      </c>
      <c r="W109">
        <f t="shared" si="7"/>
        <v>-6084.95029672998</v>
      </c>
      <c r="X109">
        <f t="shared" si="4"/>
        <v>-2.37627280878521</v>
      </c>
      <c r="Y109">
        <v>35</v>
      </c>
    </row>
    <row r="110" spans="1:25">
      <c r="A110" s="1">
        <v>122</v>
      </c>
      <c r="B110" t="s">
        <v>117</v>
      </c>
      <c r="C110" t="s">
        <v>212</v>
      </c>
      <c r="D110" t="s">
        <v>213</v>
      </c>
      <c r="E110" t="s">
        <v>120</v>
      </c>
      <c r="F110" t="s">
        <v>28</v>
      </c>
      <c r="G110">
        <v>35</v>
      </c>
      <c r="H110">
        <v>7</v>
      </c>
      <c r="I110">
        <v>14</v>
      </c>
      <c r="J110">
        <v>32</v>
      </c>
      <c r="K110">
        <v>14</v>
      </c>
      <c r="L110">
        <v>19</v>
      </c>
      <c r="M110">
        <v>20</v>
      </c>
      <c r="N110" t="s">
        <v>214</v>
      </c>
      <c r="O110" t="s">
        <v>122</v>
      </c>
      <c r="P110" t="s">
        <v>123</v>
      </c>
      <c r="Q110" t="s">
        <v>161</v>
      </c>
      <c r="R110" t="s">
        <v>125</v>
      </c>
      <c r="S110">
        <v>25</v>
      </c>
      <c r="T110">
        <v>77</v>
      </c>
      <c r="U110">
        <f t="shared" si="5"/>
        <v>-5.22553106933823</v>
      </c>
      <c r="V110">
        <f t="shared" si="6"/>
        <v>-628.521899126561</v>
      </c>
      <c r="W110">
        <f t="shared" si="7"/>
        <v>-5225.53106933823</v>
      </c>
      <c r="X110">
        <f t="shared" si="4"/>
        <v>-2.04065551664468</v>
      </c>
      <c r="Y110">
        <v>35</v>
      </c>
    </row>
    <row r="111" spans="1:25">
      <c r="A111" s="1">
        <v>124</v>
      </c>
      <c r="B111" t="s">
        <v>215</v>
      </c>
      <c r="C111" t="s">
        <v>216</v>
      </c>
      <c r="D111" t="s">
        <v>217</v>
      </c>
      <c r="E111" t="s">
        <v>218</v>
      </c>
      <c r="F111" t="s">
        <v>41</v>
      </c>
      <c r="G111">
        <v>25</v>
      </c>
      <c r="H111">
        <v>0</v>
      </c>
      <c r="I111">
        <v>58</v>
      </c>
      <c r="J111">
        <v>5</v>
      </c>
      <c r="K111">
        <v>0</v>
      </c>
      <c r="L111">
        <v>1</v>
      </c>
      <c r="M111">
        <v>24</v>
      </c>
      <c r="N111" t="s">
        <v>219</v>
      </c>
      <c r="O111" t="s">
        <v>220</v>
      </c>
      <c r="P111" t="s">
        <v>221</v>
      </c>
      <c r="Q111" t="s">
        <v>222</v>
      </c>
      <c r="R111" t="s">
        <v>223</v>
      </c>
      <c r="S111">
        <v>85</v>
      </c>
      <c r="T111">
        <v>90</v>
      </c>
      <c r="U111">
        <f t="shared" si="5"/>
        <v>-7.29505957049136</v>
      </c>
      <c r="V111">
        <f t="shared" si="6"/>
        <v>-877.442815791599</v>
      </c>
      <c r="W111">
        <f t="shared" si="7"/>
        <v>-7295.05957049136</v>
      </c>
      <c r="X111">
        <f t="shared" si="4"/>
        <v>-2.94443897916644</v>
      </c>
      <c r="Y111">
        <v>25</v>
      </c>
    </row>
    <row r="112" spans="1:25">
      <c r="A112" s="1">
        <v>125</v>
      </c>
      <c r="B112" t="s">
        <v>224</v>
      </c>
      <c r="C112" t="s">
        <v>216</v>
      </c>
      <c r="D112" t="s">
        <v>217</v>
      </c>
      <c r="E112" t="s">
        <v>218</v>
      </c>
      <c r="F112" t="s">
        <v>41</v>
      </c>
      <c r="G112">
        <v>25</v>
      </c>
      <c r="H112">
        <v>0</v>
      </c>
      <c r="I112">
        <v>58</v>
      </c>
      <c r="J112">
        <v>5</v>
      </c>
      <c r="K112">
        <v>0</v>
      </c>
      <c r="L112">
        <v>1</v>
      </c>
      <c r="M112">
        <v>24</v>
      </c>
      <c r="N112" t="s">
        <v>219</v>
      </c>
      <c r="O112" t="s">
        <v>220</v>
      </c>
      <c r="P112" t="s">
        <v>221</v>
      </c>
      <c r="Q112" t="s">
        <v>222</v>
      </c>
      <c r="R112" t="s">
        <v>223</v>
      </c>
      <c r="S112">
        <v>25</v>
      </c>
      <c r="T112">
        <v>45</v>
      </c>
      <c r="U112">
        <f t="shared" si="5"/>
        <v>-2.40175967727364</v>
      </c>
      <c r="V112">
        <f t="shared" si="6"/>
        <v>-288.881366042055</v>
      </c>
      <c r="W112">
        <f t="shared" si="7"/>
        <v>-2401.75967727364</v>
      </c>
      <c r="X112">
        <f t="shared" si="4"/>
        <v>-0.969400557188103</v>
      </c>
      <c r="Y112">
        <v>25</v>
      </c>
    </row>
    <row r="113" spans="1:25">
      <c r="A113" s="1">
        <v>126</v>
      </c>
      <c r="B113" t="s">
        <v>225</v>
      </c>
      <c r="C113" t="s">
        <v>216</v>
      </c>
      <c r="D113" t="s">
        <v>217</v>
      </c>
      <c r="E113" t="s">
        <v>218</v>
      </c>
      <c r="F113" t="s">
        <v>41</v>
      </c>
      <c r="G113">
        <v>25</v>
      </c>
      <c r="H113">
        <v>0</v>
      </c>
      <c r="I113">
        <v>58</v>
      </c>
      <c r="J113">
        <v>5</v>
      </c>
      <c r="K113">
        <v>0</v>
      </c>
      <c r="L113">
        <v>1</v>
      </c>
      <c r="M113">
        <v>24</v>
      </c>
      <c r="N113" t="s">
        <v>219</v>
      </c>
      <c r="O113" t="s">
        <v>220</v>
      </c>
      <c r="P113" t="s">
        <v>221</v>
      </c>
      <c r="Q113" t="s">
        <v>222</v>
      </c>
      <c r="R113" t="s">
        <v>223</v>
      </c>
      <c r="S113">
        <v>71</v>
      </c>
      <c r="T113">
        <v>43</v>
      </c>
      <c r="U113">
        <f t="shared" si="5"/>
        <v>-2.27885428053092</v>
      </c>
      <c r="V113">
        <f t="shared" si="6"/>
        <v>-274.098422002756</v>
      </c>
      <c r="W113">
        <f t="shared" si="7"/>
        <v>-2278.85428053092</v>
      </c>
      <c r="X113">
        <f t="shared" si="4"/>
        <v>-0.919793362425357</v>
      </c>
      <c r="Y113">
        <v>25</v>
      </c>
    </row>
    <row r="114" spans="1:25">
      <c r="A114" s="1">
        <v>127</v>
      </c>
      <c r="B114" t="s">
        <v>226</v>
      </c>
      <c r="C114" t="s">
        <v>216</v>
      </c>
      <c r="D114" t="s">
        <v>217</v>
      </c>
      <c r="E114" t="s">
        <v>218</v>
      </c>
      <c r="F114" t="s">
        <v>41</v>
      </c>
      <c r="G114">
        <v>25</v>
      </c>
      <c r="H114">
        <v>0</v>
      </c>
      <c r="I114">
        <v>58</v>
      </c>
      <c r="J114">
        <v>5</v>
      </c>
      <c r="K114">
        <v>0</v>
      </c>
      <c r="L114">
        <v>1</v>
      </c>
      <c r="M114">
        <v>24</v>
      </c>
      <c r="N114" t="s">
        <v>219</v>
      </c>
      <c r="O114" t="s">
        <v>220</v>
      </c>
      <c r="P114" t="s">
        <v>221</v>
      </c>
      <c r="Q114" t="s">
        <v>222</v>
      </c>
      <c r="R114" t="s">
        <v>223</v>
      </c>
      <c r="S114">
        <v>65</v>
      </c>
      <c r="T114">
        <v>40</v>
      </c>
      <c r="U114">
        <f t="shared" si="5"/>
        <v>-2.09924145455525</v>
      </c>
      <c r="V114">
        <f t="shared" si="6"/>
        <v>-252.494762395387</v>
      </c>
      <c r="W114">
        <f t="shared" si="7"/>
        <v>-2099.24145455525</v>
      </c>
      <c r="X114">
        <f t="shared" si="4"/>
        <v>-0.847297860387204</v>
      </c>
      <c r="Y114">
        <v>25</v>
      </c>
    </row>
    <row r="115" spans="1:25">
      <c r="A115" s="1">
        <v>128</v>
      </c>
      <c r="B115" t="s">
        <v>215</v>
      </c>
      <c r="C115" t="s">
        <v>216</v>
      </c>
      <c r="D115" t="s">
        <v>217</v>
      </c>
      <c r="E115" t="s">
        <v>218</v>
      </c>
      <c r="F115" t="s">
        <v>227</v>
      </c>
      <c r="G115">
        <v>25</v>
      </c>
      <c r="H115">
        <v>5</v>
      </c>
      <c r="I115">
        <v>58</v>
      </c>
      <c r="J115">
        <v>5</v>
      </c>
      <c r="K115">
        <v>0</v>
      </c>
      <c r="L115">
        <v>1</v>
      </c>
      <c r="M115">
        <v>24</v>
      </c>
      <c r="N115" t="s">
        <v>219</v>
      </c>
      <c r="O115" t="s">
        <v>220</v>
      </c>
      <c r="P115" t="s">
        <v>221</v>
      </c>
      <c r="Q115" t="s">
        <v>222</v>
      </c>
      <c r="R115" t="s">
        <v>223</v>
      </c>
      <c r="S115">
        <v>64</v>
      </c>
      <c r="T115">
        <v>32</v>
      </c>
      <c r="U115">
        <f t="shared" si="5"/>
        <v>-1.64335918081758</v>
      </c>
      <c r="V115">
        <f t="shared" si="6"/>
        <v>-197.661676788259</v>
      </c>
      <c r="W115">
        <f t="shared" si="7"/>
        <v>-1643.35918081758</v>
      </c>
      <c r="X115">
        <f t="shared" si="4"/>
        <v>-0.663294217410264</v>
      </c>
      <c r="Y115">
        <v>25</v>
      </c>
    </row>
    <row r="116" spans="1:25">
      <c r="A116" s="1">
        <v>129</v>
      </c>
      <c r="B116" t="s">
        <v>215</v>
      </c>
      <c r="C116" t="s">
        <v>216</v>
      </c>
      <c r="D116" t="s">
        <v>217</v>
      </c>
      <c r="E116" t="s">
        <v>218</v>
      </c>
      <c r="F116" t="s">
        <v>41</v>
      </c>
      <c r="G116">
        <v>25</v>
      </c>
      <c r="H116">
        <v>0</v>
      </c>
      <c r="I116">
        <v>58</v>
      </c>
      <c r="J116">
        <v>5</v>
      </c>
      <c r="K116">
        <v>10</v>
      </c>
      <c r="L116">
        <v>1</v>
      </c>
      <c r="M116">
        <v>24</v>
      </c>
      <c r="N116" t="s">
        <v>219</v>
      </c>
      <c r="O116" t="s">
        <v>220</v>
      </c>
      <c r="P116" t="s">
        <v>228</v>
      </c>
      <c r="Q116" t="s">
        <v>222</v>
      </c>
      <c r="R116" t="s">
        <v>223</v>
      </c>
      <c r="S116">
        <v>43</v>
      </c>
      <c r="T116">
        <v>78</v>
      </c>
      <c r="U116">
        <f t="shared" si="5"/>
        <v>-5.17996160101239</v>
      </c>
      <c r="V116">
        <f t="shared" si="6"/>
        <v>-623.040846886263</v>
      </c>
      <c r="W116">
        <f t="shared" si="7"/>
        <v>-5179.96160101239</v>
      </c>
      <c r="X116">
        <f t="shared" ref="X116:X169" si="8">-LN((1+T116*0.01)/(1-T116*0.01))</f>
        <v>-2.09074109693377</v>
      </c>
      <c r="Y116">
        <v>25</v>
      </c>
    </row>
    <row r="117" spans="1:25">
      <c r="A117" s="1">
        <v>130</v>
      </c>
      <c r="B117" t="s">
        <v>215</v>
      </c>
      <c r="C117" t="s">
        <v>216</v>
      </c>
      <c r="D117" t="s">
        <v>217</v>
      </c>
      <c r="E117" t="s">
        <v>218</v>
      </c>
      <c r="F117" t="s">
        <v>41</v>
      </c>
      <c r="G117">
        <v>25</v>
      </c>
      <c r="H117">
        <v>0</v>
      </c>
      <c r="I117">
        <v>49</v>
      </c>
      <c r="J117">
        <v>5</v>
      </c>
      <c r="K117">
        <v>0</v>
      </c>
      <c r="L117">
        <v>1</v>
      </c>
      <c r="M117">
        <v>24</v>
      </c>
      <c r="N117" t="s">
        <v>29</v>
      </c>
      <c r="O117" t="s">
        <v>220</v>
      </c>
      <c r="P117" t="s">
        <v>221</v>
      </c>
      <c r="Q117" t="s">
        <v>222</v>
      </c>
      <c r="R117" t="s">
        <v>223</v>
      </c>
      <c r="S117">
        <v>45</v>
      </c>
      <c r="T117">
        <v>94</v>
      </c>
      <c r="U117">
        <f t="shared" si="5"/>
        <v>-8.61228478317256</v>
      </c>
      <c r="V117">
        <f t="shared" si="6"/>
        <v>-1035.87740957091</v>
      </c>
      <c r="W117">
        <f t="shared" si="7"/>
        <v>-8612.28478317256</v>
      </c>
      <c r="X117">
        <f t="shared" si="8"/>
        <v>-3.47609868983527</v>
      </c>
      <c r="Y117">
        <v>25</v>
      </c>
    </row>
    <row r="118" spans="1:25">
      <c r="A118" s="1">
        <v>131</v>
      </c>
      <c r="B118" t="s">
        <v>215</v>
      </c>
      <c r="C118" t="s">
        <v>229</v>
      </c>
      <c r="D118" t="s">
        <v>230</v>
      </c>
      <c r="E118" t="s">
        <v>218</v>
      </c>
      <c r="F118" t="s">
        <v>41</v>
      </c>
      <c r="G118">
        <v>25</v>
      </c>
      <c r="H118">
        <v>0</v>
      </c>
      <c r="I118">
        <v>58</v>
      </c>
      <c r="J118">
        <v>5</v>
      </c>
      <c r="K118">
        <v>0</v>
      </c>
      <c r="L118">
        <v>1</v>
      </c>
      <c r="M118">
        <v>24</v>
      </c>
      <c r="N118" t="s">
        <v>219</v>
      </c>
      <c r="O118" t="s">
        <v>220</v>
      </c>
      <c r="P118" t="s">
        <v>221</v>
      </c>
      <c r="Q118" t="s">
        <v>222</v>
      </c>
      <c r="R118" t="s">
        <v>223</v>
      </c>
      <c r="S118">
        <v>84</v>
      </c>
      <c r="T118">
        <v>77</v>
      </c>
      <c r="U118">
        <f t="shared" si="5"/>
        <v>-5.05587096968439</v>
      </c>
      <c r="V118">
        <f t="shared" si="6"/>
        <v>-608.115343960115</v>
      </c>
      <c r="W118">
        <f t="shared" si="7"/>
        <v>-5055.87096968439</v>
      </c>
      <c r="X118">
        <f t="shared" si="8"/>
        <v>-2.04065551664468</v>
      </c>
      <c r="Y118">
        <v>25</v>
      </c>
    </row>
    <row r="119" spans="1:25">
      <c r="A119" s="1">
        <v>132</v>
      </c>
      <c r="B119" t="s">
        <v>225</v>
      </c>
      <c r="C119" t="s">
        <v>231</v>
      </c>
      <c r="D119" t="s">
        <v>232</v>
      </c>
      <c r="E119" t="s">
        <v>218</v>
      </c>
      <c r="F119" t="s">
        <v>41</v>
      </c>
      <c r="G119">
        <v>25</v>
      </c>
      <c r="H119">
        <v>0</v>
      </c>
      <c r="I119">
        <v>58</v>
      </c>
      <c r="J119">
        <v>5</v>
      </c>
      <c r="K119">
        <v>0</v>
      </c>
      <c r="L119">
        <v>1</v>
      </c>
      <c r="M119">
        <v>24</v>
      </c>
      <c r="N119" t="s">
        <v>219</v>
      </c>
      <c r="O119" t="s">
        <v>220</v>
      </c>
      <c r="P119" t="s">
        <v>221</v>
      </c>
      <c r="Q119" t="s">
        <v>222</v>
      </c>
      <c r="R119" t="s">
        <v>223</v>
      </c>
      <c r="S119">
        <v>70</v>
      </c>
      <c r="T119">
        <v>76</v>
      </c>
      <c r="U119">
        <f t="shared" si="5"/>
        <v>-4.93638918799184</v>
      </c>
      <c r="V119">
        <f t="shared" si="6"/>
        <v>-593.744189077681</v>
      </c>
      <c r="W119">
        <f t="shared" si="7"/>
        <v>-4936.38918799184</v>
      </c>
      <c r="X119">
        <f t="shared" si="8"/>
        <v>-1.99243016469021</v>
      </c>
      <c r="Y119">
        <v>25</v>
      </c>
    </row>
    <row r="120" spans="1:25">
      <c r="A120" s="1">
        <v>133</v>
      </c>
      <c r="B120" t="s">
        <v>225</v>
      </c>
      <c r="C120" t="s">
        <v>233</v>
      </c>
      <c r="D120" t="s">
        <v>234</v>
      </c>
      <c r="E120" t="s">
        <v>218</v>
      </c>
      <c r="F120" t="s">
        <v>41</v>
      </c>
      <c r="G120">
        <v>25</v>
      </c>
      <c r="H120">
        <v>0</v>
      </c>
      <c r="I120">
        <v>58</v>
      </c>
      <c r="J120">
        <v>5</v>
      </c>
      <c r="K120">
        <v>0</v>
      </c>
      <c r="L120">
        <v>1</v>
      </c>
      <c r="M120">
        <v>24</v>
      </c>
      <c r="N120" t="s">
        <v>219</v>
      </c>
      <c r="O120" t="s">
        <v>220</v>
      </c>
      <c r="P120" t="s">
        <v>221</v>
      </c>
      <c r="Q120" t="s">
        <v>222</v>
      </c>
      <c r="R120" t="s">
        <v>223</v>
      </c>
      <c r="S120">
        <v>51</v>
      </c>
      <c r="T120">
        <v>64</v>
      </c>
      <c r="U120">
        <f t="shared" si="5"/>
        <v>-3.75686008192867</v>
      </c>
      <c r="V120">
        <f t="shared" si="6"/>
        <v>-451.87155183169</v>
      </c>
      <c r="W120">
        <f t="shared" si="7"/>
        <v>-3756.86008192867</v>
      </c>
      <c r="X120">
        <f t="shared" si="8"/>
        <v>-1.51634748936809</v>
      </c>
      <c r="Y120">
        <v>25</v>
      </c>
    </row>
    <row r="121" spans="1:25">
      <c r="A121" s="1">
        <v>134</v>
      </c>
      <c r="B121" t="s">
        <v>225</v>
      </c>
      <c r="C121" t="s">
        <v>235</v>
      </c>
      <c r="D121" t="s">
        <v>236</v>
      </c>
      <c r="E121" t="s">
        <v>218</v>
      </c>
      <c r="F121" t="s">
        <v>41</v>
      </c>
      <c r="G121">
        <v>25</v>
      </c>
      <c r="H121">
        <v>0</v>
      </c>
      <c r="I121">
        <v>58</v>
      </c>
      <c r="J121">
        <v>5</v>
      </c>
      <c r="K121">
        <v>0</v>
      </c>
      <c r="L121">
        <v>1</v>
      </c>
      <c r="M121">
        <v>24</v>
      </c>
      <c r="N121" t="s">
        <v>219</v>
      </c>
      <c r="O121" t="s">
        <v>220</v>
      </c>
      <c r="P121" t="s">
        <v>221</v>
      </c>
      <c r="Q121" t="s">
        <v>222</v>
      </c>
      <c r="R121" t="s">
        <v>223</v>
      </c>
      <c r="S121">
        <v>34</v>
      </c>
      <c r="T121">
        <v>36</v>
      </c>
      <c r="U121">
        <f t="shared" si="5"/>
        <v>-1.86752391195725</v>
      </c>
      <c r="V121">
        <f t="shared" si="6"/>
        <v>-224.623997108161</v>
      </c>
      <c r="W121">
        <f t="shared" si="7"/>
        <v>-1867.52391195725</v>
      </c>
      <c r="X121">
        <f t="shared" si="8"/>
        <v>-0.75377180237638</v>
      </c>
      <c r="Y121">
        <v>25</v>
      </c>
    </row>
    <row r="122" spans="1:25">
      <c r="A122" s="1">
        <v>135</v>
      </c>
      <c r="B122" t="s">
        <v>215</v>
      </c>
      <c r="C122" t="s">
        <v>237</v>
      </c>
      <c r="D122" t="s">
        <v>238</v>
      </c>
      <c r="E122" t="s">
        <v>218</v>
      </c>
      <c r="F122" t="s">
        <v>41</v>
      </c>
      <c r="G122">
        <v>25</v>
      </c>
      <c r="H122">
        <v>0</v>
      </c>
      <c r="I122">
        <v>58</v>
      </c>
      <c r="J122">
        <v>5</v>
      </c>
      <c r="K122">
        <v>0</v>
      </c>
      <c r="L122">
        <v>1</v>
      </c>
      <c r="M122">
        <v>48</v>
      </c>
      <c r="N122" t="s">
        <v>219</v>
      </c>
      <c r="O122" t="s">
        <v>220</v>
      </c>
      <c r="P122" t="s">
        <v>221</v>
      </c>
      <c r="Q122" t="s">
        <v>222</v>
      </c>
      <c r="R122" t="s">
        <v>223</v>
      </c>
      <c r="S122">
        <v>70</v>
      </c>
      <c r="T122">
        <v>88</v>
      </c>
      <c r="U122">
        <f t="shared" si="5"/>
        <v>-6.81712684860397</v>
      </c>
      <c r="V122">
        <f t="shared" si="6"/>
        <v>-819.957523286501</v>
      </c>
      <c r="W122">
        <f t="shared" si="7"/>
        <v>-6817.12684860397</v>
      </c>
      <c r="X122">
        <f t="shared" si="8"/>
        <v>-2.75153531304195</v>
      </c>
      <c r="Y122">
        <v>25</v>
      </c>
    </row>
    <row r="123" spans="1:25">
      <c r="A123" s="1">
        <v>136</v>
      </c>
      <c r="B123" t="s">
        <v>215</v>
      </c>
      <c r="C123" t="s">
        <v>239</v>
      </c>
      <c r="D123" t="s">
        <v>240</v>
      </c>
      <c r="E123" t="s">
        <v>218</v>
      </c>
      <c r="F123" t="s">
        <v>41</v>
      </c>
      <c r="G123">
        <v>25</v>
      </c>
      <c r="H123">
        <v>0</v>
      </c>
      <c r="I123">
        <v>58</v>
      </c>
      <c r="J123">
        <v>5</v>
      </c>
      <c r="K123">
        <v>0</v>
      </c>
      <c r="L123">
        <v>1</v>
      </c>
      <c r="M123">
        <v>24</v>
      </c>
      <c r="N123" t="s">
        <v>219</v>
      </c>
      <c r="O123" t="s">
        <v>220</v>
      </c>
      <c r="P123" t="s">
        <v>221</v>
      </c>
      <c r="Q123" t="s">
        <v>222</v>
      </c>
      <c r="R123" t="s">
        <v>223</v>
      </c>
      <c r="S123">
        <v>72</v>
      </c>
      <c r="T123">
        <v>46</v>
      </c>
      <c r="U123">
        <f t="shared" si="5"/>
        <v>-2.46424904274482</v>
      </c>
      <c r="V123">
        <f t="shared" si="6"/>
        <v>-296.39752739293</v>
      </c>
      <c r="W123">
        <f t="shared" si="7"/>
        <v>-2464.24904274482</v>
      </c>
      <c r="X123">
        <f t="shared" si="8"/>
        <v>-0.994622575144062</v>
      </c>
      <c r="Y123">
        <v>25</v>
      </c>
    </row>
    <row r="124" spans="1:25">
      <c r="A124" s="1">
        <v>137</v>
      </c>
      <c r="B124" t="s">
        <v>215</v>
      </c>
      <c r="C124" t="s">
        <v>241</v>
      </c>
      <c r="D124" t="s">
        <v>242</v>
      </c>
      <c r="E124" t="s">
        <v>218</v>
      </c>
      <c r="F124" t="s">
        <v>41</v>
      </c>
      <c r="G124">
        <v>25</v>
      </c>
      <c r="H124">
        <v>0</v>
      </c>
      <c r="I124">
        <v>58</v>
      </c>
      <c r="J124">
        <v>5</v>
      </c>
      <c r="K124">
        <v>0</v>
      </c>
      <c r="L124">
        <v>1</v>
      </c>
      <c r="M124">
        <v>24</v>
      </c>
      <c r="N124" t="s">
        <v>219</v>
      </c>
      <c r="O124" t="s">
        <v>220</v>
      </c>
      <c r="P124" t="s">
        <v>221</v>
      </c>
      <c r="Q124" t="s">
        <v>222</v>
      </c>
      <c r="R124" t="s">
        <v>223</v>
      </c>
      <c r="S124">
        <v>72</v>
      </c>
      <c r="T124">
        <v>86</v>
      </c>
      <c r="U124">
        <f t="shared" si="5"/>
        <v>-6.40870909163543</v>
      </c>
      <c r="V124">
        <f t="shared" si="6"/>
        <v>-770.833424541187</v>
      </c>
      <c r="W124">
        <f t="shared" si="7"/>
        <v>-6408.70909163543</v>
      </c>
      <c r="X124">
        <f t="shared" si="8"/>
        <v>-2.58668934409794</v>
      </c>
      <c r="Y124">
        <v>25</v>
      </c>
    </row>
    <row r="125" spans="1:25">
      <c r="A125" s="1">
        <v>138</v>
      </c>
      <c r="B125" t="s">
        <v>215</v>
      </c>
      <c r="C125" t="s">
        <v>243</v>
      </c>
      <c r="D125" t="s">
        <v>244</v>
      </c>
      <c r="E125" t="s">
        <v>245</v>
      </c>
      <c r="F125" t="s">
        <v>41</v>
      </c>
      <c r="G125">
        <v>25</v>
      </c>
      <c r="H125">
        <v>0</v>
      </c>
      <c r="I125">
        <v>58</v>
      </c>
      <c r="J125">
        <v>5</v>
      </c>
      <c r="K125">
        <v>0</v>
      </c>
      <c r="L125">
        <v>1</v>
      </c>
      <c r="M125">
        <v>24</v>
      </c>
      <c r="N125" t="s">
        <v>219</v>
      </c>
      <c r="O125" t="s">
        <v>220</v>
      </c>
      <c r="P125" t="s">
        <v>221</v>
      </c>
      <c r="Q125" t="s">
        <v>222</v>
      </c>
      <c r="R125" t="s">
        <v>223</v>
      </c>
      <c r="S125">
        <v>77</v>
      </c>
      <c r="T125">
        <v>89</v>
      </c>
      <c r="U125">
        <f t="shared" si="5"/>
        <v>-7.04584744877774</v>
      </c>
      <c r="V125">
        <f t="shared" si="6"/>
        <v>-847.467819193859</v>
      </c>
      <c r="W125">
        <f t="shared" si="7"/>
        <v>-7045.84744877774</v>
      </c>
      <c r="X125">
        <f t="shared" si="8"/>
        <v>-2.84385174226127</v>
      </c>
      <c r="Y125">
        <v>25</v>
      </c>
    </row>
    <row r="126" spans="1:25">
      <c r="A126" s="1">
        <v>139</v>
      </c>
      <c r="B126" t="s">
        <v>215</v>
      </c>
      <c r="C126" t="s">
        <v>246</v>
      </c>
      <c r="D126" t="s">
        <v>244</v>
      </c>
      <c r="E126" t="s">
        <v>247</v>
      </c>
      <c r="F126" t="s">
        <v>41</v>
      </c>
      <c r="G126">
        <v>25</v>
      </c>
      <c r="H126">
        <v>0</v>
      </c>
      <c r="I126">
        <v>58</v>
      </c>
      <c r="J126">
        <v>5</v>
      </c>
      <c r="K126">
        <v>0</v>
      </c>
      <c r="L126">
        <v>1</v>
      </c>
      <c r="M126">
        <v>24</v>
      </c>
      <c r="N126" t="s">
        <v>219</v>
      </c>
      <c r="O126" t="s">
        <v>220</v>
      </c>
      <c r="P126" t="s">
        <v>221</v>
      </c>
      <c r="Q126" t="s">
        <v>222</v>
      </c>
      <c r="R126" t="s">
        <v>223</v>
      </c>
      <c r="S126">
        <v>72</v>
      </c>
      <c r="T126">
        <v>81</v>
      </c>
      <c r="U126">
        <f t="shared" si="5"/>
        <v>-5.58459111625598</v>
      </c>
      <c r="V126">
        <f t="shared" si="6"/>
        <v>-671.709299525617</v>
      </c>
      <c r="W126">
        <f t="shared" si="7"/>
        <v>-5584.59111625598</v>
      </c>
      <c r="X126">
        <f t="shared" si="8"/>
        <v>-2.25405805209939</v>
      </c>
      <c r="Y126">
        <v>25</v>
      </c>
    </row>
    <row r="127" spans="1:25">
      <c r="A127" s="1">
        <v>140</v>
      </c>
      <c r="B127" t="s">
        <v>215</v>
      </c>
      <c r="C127" t="s">
        <v>248</v>
      </c>
      <c r="D127" t="s">
        <v>244</v>
      </c>
      <c r="E127" t="s">
        <v>249</v>
      </c>
      <c r="F127" t="s">
        <v>41</v>
      </c>
      <c r="G127">
        <v>25</v>
      </c>
      <c r="H127">
        <v>0</v>
      </c>
      <c r="I127">
        <v>58</v>
      </c>
      <c r="J127">
        <v>5</v>
      </c>
      <c r="K127">
        <v>0</v>
      </c>
      <c r="L127">
        <v>1</v>
      </c>
      <c r="M127">
        <v>24</v>
      </c>
      <c r="N127" t="s">
        <v>219</v>
      </c>
      <c r="O127" t="s">
        <v>220</v>
      </c>
      <c r="P127" t="s">
        <v>221</v>
      </c>
      <c r="Q127" t="s">
        <v>222</v>
      </c>
      <c r="R127" t="s">
        <v>223</v>
      </c>
      <c r="S127">
        <v>90</v>
      </c>
      <c r="T127">
        <v>88</v>
      </c>
      <c r="U127">
        <f t="shared" si="5"/>
        <v>-6.81712684860397</v>
      </c>
      <c r="V127">
        <f t="shared" si="6"/>
        <v>-819.957523286501</v>
      </c>
      <c r="W127">
        <f t="shared" si="7"/>
        <v>-6817.12684860397</v>
      </c>
      <c r="X127">
        <f t="shared" si="8"/>
        <v>-2.75153531304195</v>
      </c>
      <c r="Y127">
        <v>25</v>
      </c>
    </row>
    <row r="128" spans="1:25">
      <c r="A128" s="1">
        <v>141</v>
      </c>
      <c r="B128" t="s">
        <v>215</v>
      </c>
      <c r="C128" t="s">
        <v>250</v>
      </c>
      <c r="D128" t="s">
        <v>244</v>
      </c>
      <c r="E128" t="s">
        <v>251</v>
      </c>
      <c r="F128" t="s">
        <v>41</v>
      </c>
      <c r="G128">
        <v>25</v>
      </c>
      <c r="H128">
        <v>0</v>
      </c>
      <c r="I128">
        <v>58</v>
      </c>
      <c r="J128">
        <v>5</v>
      </c>
      <c r="K128">
        <v>0</v>
      </c>
      <c r="L128">
        <v>1</v>
      </c>
      <c r="M128">
        <v>24</v>
      </c>
      <c r="N128" t="s">
        <v>219</v>
      </c>
      <c r="O128" t="s">
        <v>220</v>
      </c>
      <c r="P128" t="s">
        <v>221</v>
      </c>
      <c r="Q128" t="s">
        <v>222</v>
      </c>
      <c r="R128" t="s">
        <v>223</v>
      </c>
      <c r="S128">
        <v>53</v>
      </c>
      <c r="T128">
        <v>79</v>
      </c>
      <c r="U128">
        <f t="shared" si="5"/>
        <v>-5.3090982806732</v>
      </c>
      <c r="V128">
        <f t="shared" si="6"/>
        <v>-638.573283698965</v>
      </c>
      <c r="W128">
        <f t="shared" si="7"/>
        <v>-5309.0982806732</v>
      </c>
      <c r="X128">
        <f t="shared" si="8"/>
        <v>-2.14286336811733</v>
      </c>
      <c r="Y128">
        <v>25</v>
      </c>
    </row>
    <row r="129" spans="1:25">
      <c r="A129" s="1">
        <v>142</v>
      </c>
      <c r="B129" t="s">
        <v>215</v>
      </c>
      <c r="C129" t="s">
        <v>252</v>
      </c>
      <c r="D129" t="s">
        <v>244</v>
      </c>
      <c r="E129" t="s">
        <v>253</v>
      </c>
      <c r="F129" t="s">
        <v>41</v>
      </c>
      <c r="G129">
        <v>25</v>
      </c>
      <c r="H129">
        <v>0</v>
      </c>
      <c r="I129">
        <v>58</v>
      </c>
      <c r="J129">
        <v>5</v>
      </c>
      <c r="K129">
        <v>0</v>
      </c>
      <c r="L129">
        <v>1</v>
      </c>
      <c r="M129">
        <v>24</v>
      </c>
      <c r="N129" t="s">
        <v>219</v>
      </c>
      <c r="O129" t="s">
        <v>220</v>
      </c>
      <c r="P129" t="s">
        <v>221</v>
      </c>
      <c r="Q129" t="s">
        <v>222</v>
      </c>
      <c r="R129" t="s">
        <v>223</v>
      </c>
      <c r="S129">
        <v>85</v>
      </c>
      <c r="T129">
        <v>85</v>
      </c>
      <c r="U129">
        <f t="shared" si="5"/>
        <v>-6.22441806940575</v>
      </c>
      <c r="V129">
        <f t="shared" si="6"/>
        <v>-748.667075944882</v>
      </c>
      <c r="W129">
        <f t="shared" si="7"/>
        <v>-6224.41806940575</v>
      </c>
      <c r="X129">
        <f t="shared" si="8"/>
        <v>-2.51230562397611</v>
      </c>
      <c r="Y129">
        <v>25</v>
      </c>
    </row>
    <row r="130" spans="1:25">
      <c r="A130" s="1">
        <v>143</v>
      </c>
      <c r="B130" t="s">
        <v>215</v>
      </c>
      <c r="C130" t="s">
        <v>254</v>
      </c>
      <c r="D130" t="s">
        <v>244</v>
      </c>
      <c r="E130" t="s">
        <v>255</v>
      </c>
      <c r="F130" t="s">
        <v>41</v>
      </c>
      <c r="G130">
        <v>25</v>
      </c>
      <c r="H130">
        <v>0</v>
      </c>
      <c r="I130">
        <v>58</v>
      </c>
      <c r="J130">
        <v>5</v>
      </c>
      <c r="K130">
        <v>0</v>
      </c>
      <c r="L130">
        <v>1</v>
      </c>
      <c r="M130">
        <v>24</v>
      </c>
      <c r="N130" t="s">
        <v>219</v>
      </c>
      <c r="O130" t="s">
        <v>220</v>
      </c>
      <c r="P130" t="s">
        <v>221</v>
      </c>
      <c r="Q130" t="s">
        <v>222</v>
      </c>
      <c r="R130" t="s">
        <v>223</v>
      </c>
      <c r="S130">
        <v>84</v>
      </c>
      <c r="T130">
        <v>82</v>
      </c>
      <c r="U130">
        <f t="shared" ref="U130:U193" si="9">LN((1+T130*0.01)/(1-T130*0.01))*-(G130+273)*8.314/1000</f>
        <v>-5.73219711875991</v>
      </c>
      <c r="V130">
        <f t="shared" ref="V130:V193" si="10">LN((1+T130*0.01)/(1-T130*0.01))*-(G130+273)</f>
        <v>-689.463208895828</v>
      </c>
      <c r="W130">
        <f t="shared" ref="W130:W193" si="11">LN((1+T130*0.01)/(1-T130*0.01))*-(G130+273)*8.314</f>
        <v>-5732.19711875991</v>
      </c>
      <c r="X130">
        <f t="shared" si="8"/>
        <v>-2.31363492918063</v>
      </c>
      <c r="Y130">
        <v>25</v>
      </c>
    </row>
    <row r="131" spans="1:25">
      <c r="A131" s="1">
        <v>144</v>
      </c>
      <c r="B131" t="s">
        <v>215</v>
      </c>
      <c r="C131" t="s">
        <v>256</v>
      </c>
      <c r="D131" t="s">
        <v>244</v>
      </c>
      <c r="E131" t="s">
        <v>257</v>
      </c>
      <c r="F131" t="s">
        <v>41</v>
      </c>
      <c r="G131">
        <v>25</v>
      </c>
      <c r="H131">
        <v>0</v>
      </c>
      <c r="I131">
        <v>58</v>
      </c>
      <c r="J131">
        <v>5</v>
      </c>
      <c r="K131">
        <v>0</v>
      </c>
      <c r="L131">
        <v>1</v>
      </c>
      <c r="M131">
        <v>24</v>
      </c>
      <c r="N131" t="s">
        <v>219</v>
      </c>
      <c r="O131" t="s">
        <v>220</v>
      </c>
      <c r="P131" t="s">
        <v>221</v>
      </c>
      <c r="Q131" t="s">
        <v>222</v>
      </c>
      <c r="R131" t="s">
        <v>223</v>
      </c>
      <c r="S131">
        <v>86</v>
      </c>
      <c r="T131">
        <v>89</v>
      </c>
      <c r="U131">
        <f t="shared" si="9"/>
        <v>-7.04584744877774</v>
      </c>
      <c r="V131">
        <f t="shared" si="10"/>
        <v>-847.467819193859</v>
      </c>
      <c r="W131">
        <f t="shared" si="11"/>
        <v>-7045.84744877774</v>
      </c>
      <c r="X131">
        <f t="shared" si="8"/>
        <v>-2.84385174226127</v>
      </c>
      <c r="Y131">
        <v>25</v>
      </c>
    </row>
    <row r="132" spans="1:25">
      <c r="A132" s="1">
        <v>145</v>
      </c>
      <c r="B132" t="s">
        <v>215</v>
      </c>
      <c r="C132" t="s">
        <v>258</v>
      </c>
      <c r="D132" t="s">
        <v>244</v>
      </c>
      <c r="E132" t="s">
        <v>259</v>
      </c>
      <c r="F132" t="s">
        <v>41</v>
      </c>
      <c r="G132">
        <v>25</v>
      </c>
      <c r="H132">
        <v>0</v>
      </c>
      <c r="I132">
        <v>58</v>
      </c>
      <c r="J132">
        <v>5</v>
      </c>
      <c r="K132">
        <v>0</v>
      </c>
      <c r="L132">
        <v>1</v>
      </c>
      <c r="M132">
        <v>24</v>
      </c>
      <c r="N132" t="s">
        <v>219</v>
      </c>
      <c r="O132" t="s">
        <v>220</v>
      </c>
      <c r="P132" t="s">
        <v>221</v>
      </c>
      <c r="Q132" t="s">
        <v>222</v>
      </c>
      <c r="R132" t="s">
        <v>223</v>
      </c>
      <c r="S132">
        <v>84</v>
      </c>
      <c r="T132">
        <v>86</v>
      </c>
      <c r="U132">
        <f t="shared" si="9"/>
        <v>-6.40870909163543</v>
      </c>
      <c r="V132">
        <f t="shared" si="10"/>
        <v>-770.833424541187</v>
      </c>
      <c r="W132">
        <f t="shared" si="11"/>
        <v>-6408.70909163543</v>
      </c>
      <c r="X132">
        <f t="shared" si="8"/>
        <v>-2.58668934409794</v>
      </c>
      <c r="Y132">
        <v>25</v>
      </c>
    </row>
    <row r="133" spans="1:25">
      <c r="A133" s="1">
        <v>146</v>
      </c>
      <c r="B133" t="s">
        <v>215</v>
      </c>
      <c r="C133" t="s">
        <v>260</v>
      </c>
      <c r="D133" t="s">
        <v>244</v>
      </c>
      <c r="E133" t="s">
        <v>261</v>
      </c>
      <c r="F133" t="s">
        <v>41</v>
      </c>
      <c r="G133">
        <v>25</v>
      </c>
      <c r="H133">
        <v>0</v>
      </c>
      <c r="I133">
        <v>58</v>
      </c>
      <c r="J133">
        <v>5</v>
      </c>
      <c r="K133">
        <v>0</v>
      </c>
      <c r="L133">
        <v>1</v>
      </c>
      <c r="M133">
        <v>24</v>
      </c>
      <c r="N133" t="s">
        <v>219</v>
      </c>
      <c r="O133" t="s">
        <v>220</v>
      </c>
      <c r="P133" t="s">
        <v>221</v>
      </c>
      <c r="Q133" t="s">
        <v>222</v>
      </c>
      <c r="R133" t="s">
        <v>223</v>
      </c>
      <c r="S133">
        <v>77</v>
      </c>
      <c r="T133">
        <v>85</v>
      </c>
      <c r="U133">
        <f t="shared" si="9"/>
        <v>-6.22441806940575</v>
      </c>
      <c r="V133">
        <f t="shared" si="10"/>
        <v>-748.667075944882</v>
      </c>
      <c r="W133">
        <f t="shared" si="11"/>
        <v>-6224.41806940575</v>
      </c>
      <c r="X133">
        <f t="shared" si="8"/>
        <v>-2.51230562397611</v>
      </c>
      <c r="Y133">
        <v>25</v>
      </c>
    </row>
    <row r="134" spans="1:25">
      <c r="A134" s="1">
        <v>147</v>
      </c>
      <c r="B134" t="s">
        <v>215</v>
      </c>
      <c r="C134" t="s">
        <v>262</v>
      </c>
      <c r="D134" t="s">
        <v>244</v>
      </c>
      <c r="E134" t="s">
        <v>263</v>
      </c>
      <c r="F134" t="s">
        <v>41</v>
      </c>
      <c r="G134">
        <v>25</v>
      </c>
      <c r="H134">
        <v>0</v>
      </c>
      <c r="I134">
        <v>58</v>
      </c>
      <c r="J134">
        <v>5</v>
      </c>
      <c r="K134">
        <v>0</v>
      </c>
      <c r="L134">
        <v>1</v>
      </c>
      <c r="M134">
        <v>24</v>
      </c>
      <c r="N134" t="s">
        <v>219</v>
      </c>
      <c r="O134" t="s">
        <v>220</v>
      </c>
      <c r="P134" t="s">
        <v>221</v>
      </c>
      <c r="Q134" t="s">
        <v>222</v>
      </c>
      <c r="R134" t="s">
        <v>223</v>
      </c>
      <c r="S134">
        <v>83</v>
      </c>
      <c r="T134">
        <v>75</v>
      </c>
      <c r="U134">
        <f t="shared" si="9"/>
        <v>-4.82113249981527</v>
      </c>
      <c r="V134">
        <f t="shared" si="10"/>
        <v>-579.881224418483</v>
      </c>
      <c r="W134">
        <f t="shared" si="11"/>
        <v>-4821.13249981527</v>
      </c>
      <c r="X134">
        <f t="shared" si="8"/>
        <v>-1.94591014905531</v>
      </c>
      <c r="Y134">
        <v>25</v>
      </c>
    </row>
    <row r="135" spans="1:25">
      <c r="A135" s="1">
        <v>148</v>
      </c>
      <c r="B135" t="s">
        <v>215</v>
      </c>
      <c r="C135" t="s">
        <v>264</v>
      </c>
      <c r="D135" t="s">
        <v>244</v>
      </c>
      <c r="E135" t="s">
        <v>265</v>
      </c>
      <c r="F135" t="s">
        <v>41</v>
      </c>
      <c r="G135">
        <v>25</v>
      </c>
      <c r="H135">
        <v>0</v>
      </c>
      <c r="I135">
        <v>58</v>
      </c>
      <c r="J135">
        <v>5</v>
      </c>
      <c r="K135">
        <v>0</v>
      </c>
      <c r="L135">
        <v>1</v>
      </c>
      <c r="M135">
        <v>24</v>
      </c>
      <c r="N135" t="s">
        <v>219</v>
      </c>
      <c r="O135" t="s">
        <v>220</v>
      </c>
      <c r="P135" t="s">
        <v>221</v>
      </c>
      <c r="Q135" t="s">
        <v>222</v>
      </c>
      <c r="R135" t="s">
        <v>223</v>
      </c>
      <c r="S135">
        <v>89</v>
      </c>
      <c r="T135">
        <v>70</v>
      </c>
      <c r="U135">
        <f t="shared" si="9"/>
        <v>-4.29759900600002</v>
      </c>
      <c r="V135">
        <f t="shared" si="10"/>
        <v>-516.911114505656</v>
      </c>
      <c r="W135">
        <f t="shared" si="11"/>
        <v>-4297.59900600002</v>
      </c>
      <c r="X135">
        <f t="shared" si="8"/>
        <v>-1.73460105538811</v>
      </c>
      <c r="Y135">
        <v>25</v>
      </c>
    </row>
    <row r="136" spans="1:25">
      <c r="A136" s="1">
        <v>149</v>
      </c>
      <c r="B136" t="s">
        <v>215</v>
      </c>
      <c r="C136" t="s">
        <v>266</v>
      </c>
      <c r="D136" t="s">
        <v>244</v>
      </c>
      <c r="E136" t="s">
        <v>267</v>
      </c>
      <c r="F136" t="s">
        <v>41</v>
      </c>
      <c r="G136">
        <v>25</v>
      </c>
      <c r="H136">
        <v>0</v>
      </c>
      <c r="I136">
        <v>30</v>
      </c>
      <c r="J136">
        <v>5</v>
      </c>
      <c r="K136">
        <v>0</v>
      </c>
      <c r="L136">
        <v>1</v>
      </c>
      <c r="M136">
        <v>24</v>
      </c>
      <c r="N136" t="s">
        <v>268</v>
      </c>
      <c r="O136" t="s">
        <v>220</v>
      </c>
      <c r="P136" t="s">
        <v>221</v>
      </c>
      <c r="Q136" t="s">
        <v>222</v>
      </c>
      <c r="R136" t="s">
        <v>223</v>
      </c>
      <c r="S136">
        <v>90</v>
      </c>
      <c r="T136">
        <v>94</v>
      </c>
      <c r="U136">
        <f t="shared" si="9"/>
        <v>-8.61228478317256</v>
      </c>
      <c r="V136">
        <f t="shared" si="10"/>
        <v>-1035.87740957091</v>
      </c>
      <c r="W136">
        <f t="shared" si="11"/>
        <v>-8612.28478317256</v>
      </c>
      <c r="X136">
        <f t="shared" si="8"/>
        <v>-3.47609868983527</v>
      </c>
      <c r="Y136">
        <v>25</v>
      </c>
    </row>
    <row r="137" spans="1:25">
      <c r="A137" s="1">
        <v>151</v>
      </c>
      <c r="B137" t="s">
        <v>215</v>
      </c>
      <c r="C137" t="s">
        <v>216</v>
      </c>
      <c r="D137" t="s">
        <v>269</v>
      </c>
      <c r="E137" t="s">
        <v>270</v>
      </c>
      <c r="F137" t="s">
        <v>41</v>
      </c>
      <c r="G137">
        <v>25</v>
      </c>
      <c r="H137">
        <v>0</v>
      </c>
      <c r="I137">
        <v>29</v>
      </c>
      <c r="J137">
        <v>5</v>
      </c>
      <c r="K137">
        <v>0</v>
      </c>
      <c r="L137">
        <v>1</v>
      </c>
      <c r="M137">
        <v>24</v>
      </c>
      <c r="N137" t="s">
        <v>271</v>
      </c>
      <c r="O137" t="s">
        <v>220</v>
      </c>
      <c r="P137" t="s">
        <v>221</v>
      </c>
      <c r="Q137" t="s">
        <v>222</v>
      </c>
      <c r="R137" t="s">
        <v>223</v>
      </c>
      <c r="S137">
        <v>75</v>
      </c>
      <c r="T137">
        <v>41</v>
      </c>
      <c r="U137">
        <f t="shared" si="9"/>
        <v>-2.15851633915164</v>
      </c>
      <c r="V137">
        <f t="shared" si="10"/>
        <v>-259.62428904879</v>
      </c>
      <c r="W137">
        <f t="shared" si="11"/>
        <v>-2158.51633915164</v>
      </c>
      <c r="X137">
        <f t="shared" si="8"/>
        <v>-0.871222446472449</v>
      </c>
      <c r="Y137">
        <v>25</v>
      </c>
    </row>
    <row r="138" spans="1:25">
      <c r="A138" s="1">
        <v>152</v>
      </c>
      <c r="B138" t="s">
        <v>215</v>
      </c>
      <c r="C138" t="s">
        <v>216</v>
      </c>
      <c r="D138" t="s">
        <v>269</v>
      </c>
      <c r="E138" t="s">
        <v>270</v>
      </c>
      <c r="F138" t="s">
        <v>41</v>
      </c>
      <c r="G138">
        <v>25</v>
      </c>
      <c r="H138">
        <v>0</v>
      </c>
      <c r="I138">
        <v>46</v>
      </c>
      <c r="J138">
        <v>5</v>
      </c>
      <c r="K138">
        <v>0</v>
      </c>
      <c r="L138">
        <v>1</v>
      </c>
      <c r="M138">
        <v>24</v>
      </c>
      <c r="N138" t="s">
        <v>272</v>
      </c>
      <c r="O138" t="s">
        <v>220</v>
      </c>
      <c r="P138" t="s">
        <v>221</v>
      </c>
      <c r="Q138" t="s">
        <v>222</v>
      </c>
      <c r="R138" t="s">
        <v>223</v>
      </c>
      <c r="S138">
        <v>62</v>
      </c>
      <c r="T138">
        <v>52</v>
      </c>
      <c r="U138">
        <f t="shared" si="9"/>
        <v>-2.85584647879707</v>
      </c>
      <c r="V138">
        <f t="shared" si="10"/>
        <v>-343.498493961639</v>
      </c>
      <c r="W138">
        <f t="shared" si="11"/>
        <v>-2855.84647879707</v>
      </c>
      <c r="X138">
        <f t="shared" si="8"/>
        <v>-1.15267950993839</v>
      </c>
      <c r="Y138">
        <v>25</v>
      </c>
    </row>
    <row r="139" spans="1:25">
      <c r="A139" s="1">
        <v>157</v>
      </c>
      <c r="B139" t="s">
        <v>215</v>
      </c>
      <c r="C139" t="s">
        <v>216</v>
      </c>
      <c r="D139" t="s">
        <v>269</v>
      </c>
      <c r="E139" t="s">
        <v>270</v>
      </c>
      <c r="F139" t="s">
        <v>41</v>
      </c>
      <c r="G139">
        <v>25</v>
      </c>
      <c r="H139">
        <v>0</v>
      </c>
      <c r="I139">
        <v>51</v>
      </c>
      <c r="J139">
        <v>5</v>
      </c>
      <c r="K139">
        <v>0</v>
      </c>
      <c r="L139">
        <v>1</v>
      </c>
      <c r="M139">
        <v>24</v>
      </c>
      <c r="N139" t="s">
        <v>273</v>
      </c>
      <c r="O139" t="s">
        <v>220</v>
      </c>
      <c r="P139" t="s">
        <v>221</v>
      </c>
      <c r="Q139" t="s">
        <v>222</v>
      </c>
      <c r="R139" t="s">
        <v>223</v>
      </c>
      <c r="S139">
        <v>60</v>
      </c>
      <c r="T139">
        <v>39</v>
      </c>
      <c r="U139">
        <f t="shared" si="9"/>
        <v>-2.04052847004688</v>
      </c>
      <c r="V139">
        <f t="shared" si="10"/>
        <v>-245.432820549299</v>
      </c>
      <c r="W139">
        <f t="shared" si="11"/>
        <v>-2040.52847004688</v>
      </c>
      <c r="X139">
        <f t="shared" si="8"/>
        <v>-0.823600068957381</v>
      </c>
      <c r="Y139">
        <v>25</v>
      </c>
    </row>
    <row r="140" spans="1:25">
      <c r="A140" s="1">
        <v>158</v>
      </c>
      <c r="B140" t="s">
        <v>215</v>
      </c>
      <c r="C140" t="s">
        <v>216</v>
      </c>
      <c r="D140" t="s">
        <v>269</v>
      </c>
      <c r="E140" t="s">
        <v>270</v>
      </c>
      <c r="F140" t="s">
        <v>41</v>
      </c>
      <c r="G140">
        <v>25</v>
      </c>
      <c r="H140">
        <v>0</v>
      </c>
      <c r="I140">
        <v>51</v>
      </c>
      <c r="J140">
        <v>6</v>
      </c>
      <c r="K140">
        <v>0</v>
      </c>
      <c r="L140">
        <v>1</v>
      </c>
      <c r="M140">
        <v>24</v>
      </c>
      <c r="N140" t="s">
        <v>273</v>
      </c>
      <c r="O140" t="s">
        <v>274</v>
      </c>
      <c r="P140" t="s">
        <v>221</v>
      </c>
      <c r="Q140" t="s">
        <v>222</v>
      </c>
      <c r="R140" t="s">
        <v>223</v>
      </c>
      <c r="S140">
        <v>47</v>
      </c>
      <c r="T140">
        <v>24</v>
      </c>
      <c r="U140">
        <f t="shared" si="9"/>
        <v>-1.21289097569932</v>
      </c>
      <c r="V140">
        <f t="shared" si="10"/>
        <v>-145.885371144974</v>
      </c>
      <c r="W140">
        <f t="shared" si="11"/>
        <v>-1212.89097569932</v>
      </c>
      <c r="X140">
        <f t="shared" si="8"/>
        <v>-0.489548225318706</v>
      </c>
      <c r="Y140">
        <v>25</v>
      </c>
    </row>
    <row r="141" spans="1:25">
      <c r="A141" s="1">
        <v>159</v>
      </c>
      <c r="B141" t="s">
        <v>215</v>
      </c>
      <c r="C141" t="s">
        <v>216</v>
      </c>
      <c r="D141" t="s">
        <v>269</v>
      </c>
      <c r="E141" t="s">
        <v>270</v>
      </c>
      <c r="F141" t="s">
        <v>41</v>
      </c>
      <c r="G141">
        <v>25</v>
      </c>
      <c r="H141">
        <v>0</v>
      </c>
      <c r="I141">
        <v>51</v>
      </c>
      <c r="J141">
        <v>8</v>
      </c>
      <c r="K141">
        <v>0</v>
      </c>
      <c r="L141">
        <v>1</v>
      </c>
      <c r="M141">
        <v>24</v>
      </c>
      <c r="N141" t="s">
        <v>273</v>
      </c>
      <c r="O141" t="s">
        <v>275</v>
      </c>
      <c r="P141" t="s">
        <v>221</v>
      </c>
      <c r="Q141" t="s">
        <v>222</v>
      </c>
      <c r="R141" t="s">
        <v>223</v>
      </c>
      <c r="S141">
        <v>60</v>
      </c>
      <c r="T141">
        <v>24</v>
      </c>
      <c r="U141">
        <f t="shared" si="9"/>
        <v>-1.21289097569932</v>
      </c>
      <c r="V141">
        <f t="shared" si="10"/>
        <v>-145.885371144974</v>
      </c>
      <c r="W141">
        <f t="shared" si="11"/>
        <v>-1212.89097569932</v>
      </c>
      <c r="X141">
        <f t="shared" si="8"/>
        <v>-0.489548225318706</v>
      </c>
      <c r="Y141">
        <v>25</v>
      </c>
    </row>
    <row r="142" spans="1:25">
      <c r="A142" s="1">
        <v>160</v>
      </c>
      <c r="B142" t="s">
        <v>215</v>
      </c>
      <c r="C142" t="s">
        <v>216</v>
      </c>
      <c r="D142" t="s">
        <v>269</v>
      </c>
      <c r="E142" t="s">
        <v>270</v>
      </c>
      <c r="F142" t="s">
        <v>41</v>
      </c>
      <c r="G142">
        <v>25</v>
      </c>
      <c r="H142">
        <v>0</v>
      </c>
      <c r="I142">
        <v>51</v>
      </c>
      <c r="J142">
        <v>7</v>
      </c>
      <c r="K142">
        <v>0</v>
      </c>
      <c r="L142">
        <v>1</v>
      </c>
      <c r="M142">
        <v>24</v>
      </c>
      <c r="N142" t="s">
        <v>273</v>
      </c>
      <c r="O142" t="s">
        <v>276</v>
      </c>
      <c r="P142" t="s">
        <v>221</v>
      </c>
      <c r="Q142" t="s">
        <v>222</v>
      </c>
      <c r="R142" t="s">
        <v>223</v>
      </c>
      <c r="S142">
        <v>66</v>
      </c>
      <c r="T142">
        <v>33</v>
      </c>
      <c r="U142">
        <f t="shared" si="9"/>
        <v>-1.69876336789691</v>
      </c>
      <c r="V142">
        <f t="shared" si="10"/>
        <v>-204.325639631575</v>
      </c>
      <c r="W142">
        <f t="shared" si="11"/>
        <v>-1698.76336789691</v>
      </c>
      <c r="X142">
        <f t="shared" si="8"/>
        <v>-0.685656508830788</v>
      </c>
      <c r="Y142">
        <v>25</v>
      </c>
    </row>
    <row r="143" spans="1:25">
      <c r="A143" s="1">
        <v>162</v>
      </c>
      <c r="B143" t="s">
        <v>152</v>
      </c>
      <c r="C143" t="s">
        <v>216</v>
      </c>
      <c r="D143" t="s">
        <v>269</v>
      </c>
      <c r="E143" t="s">
        <v>270</v>
      </c>
      <c r="F143" t="s">
        <v>41</v>
      </c>
      <c r="G143">
        <v>25</v>
      </c>
      <c r="H143">
        <v>0</v>
      </c>
      <c r="I143">
        <v>49</v>
      </c>
      <c r="J143">
        <v>5</v>
      </c>
      <c r="K143">
        <v>10</v>
      </c>
      <c r="L143">
        <v>1</v>
      </c>
      <c r="M143">
        <v>24</v>
      </c>
      <c r="N143" t="s">
        <v>29</v>
      </c>
      <c r="O143" t="s">
        <v>220</v>
      </c>
      <c r="P143" t="s">
        <v>228</v>
      </c>
      <c r="Q143" t="s">
        <v>222</v>
      </c>
      <c r="R143" t="s">
        <v>223</v>
      </c>
      <c r="S143">
        <v>20</v>
      </c>
      <c r="T143">
        <v>19</v>
      </c>
      <c r="U143">
        <f t="shared" si="9"/>
        <v>-0.953058370035214</v>
      </c>
      <c r="V143">
        <f t="shared" si="10"/>
        <v>-114.632952854849</v>
      </c>
      <c r="W143">
        <f t="shared" si="11"/>
        <v>-953.058370035214</v>
      </c>
      <c r="X143">
        <f t="shared" si="8"/>
        <v>-0.38467433843909</v>
      </c>
      <c r="Y143">
        <v>25</v>
      </c>
    </row>
    <row r="144" spans="1:25">
      <c r="A144" s="1">
        <v>163</v>
      </c>
      <c r="B144" t="s">
        <v>277</v>
      </c>
      <c r="C144" t="s">
        <v>216</v>
      </c>
      <c r="D144" t="s">
        <v>269</v>
      </c>
      <c r="E144" t="s">
        <v>270</v>
      </c>
      <c r="F144" t="s">
        <v>41</v>
      </c>
      <c r="G144">
        <v>25</v>
      </c>
      <c r="H144">
        <v>0</v>
      </c>
      <c r="I144">
        <v>49</v>
      </c>
      <c r="J144">
        <v>5</v>
      </c>
      <c r="K144">
        <v>10</v>
      </c>
      <c r="L144">
        <v>1</v>
      </c>
      <c r="M144">
        <v>24</v>
      </c>
      <c r="N144" t="s">
        <v>29</v>
      </c>
      <c r="O144" t="s">
        <v>220</v>
      </c>
      <c r="P144" t="s">
        <v>228</v>
      </c>
      <c r="Q144" t="s">
        <v>222</v>
      </c>
      <c r="R144" t="s">
        <v>223</v>
      </c>
      <c r="S144">
        <v>18</v>
      </c>
      <c r="T144">
        <v>84</v>
      </c>
      <c r="U144">
        <f t="shared" si="9"/>
        <v>-6.05109062911375</v>
      </c>
      <c r="V144">
        <f t="shared" si="10"/>
        <v>-727.819416540023</v>
      </c>
      <c r="W144">
        <f t="shared" si="11"/>
        <v>-6051.09062911375</v>
      </c>
      <c r="X144">
        <f t="shared" si="8"/>
        <v>-2.4423470353692</v>
      </c>
      <c r="Y144">
        <v>25</v>
      </c>
    </row>
    <row r="145" spans="1:25">
      <c r="A145" s="1">
        <v>164</v>
      </c>
      <c r="B145" t="s">
        <v>278</v>
      </c>
      <c r="C145" t="s">
        <v>216</v>
      </c>
      <c r="D145" t="s">
        <v>269</v>
      </c>
      <c r="E145" t="s">
        <v>270</v>
      </c>
      <c r="F145" t="s">
        <v>41</v>
      </c>
      <c r="G145">
        <v>25</v>
      </c>
      <c r="H145">
        <v>0</v>
      </c>
      <c r="I145">
        <v>49</v>
      </c>
      <c r="J145">
        <v>5</v>
      </c>
      <c r="K145">
        <v>10</v>
      </c>
      <c r="L145">
        <v>1</v>
      </c>
      <c r="M145">
        <v>24</v>
      </c>
      <c r="N145" t="s">
        <v>29</v>
      </c>
      <c r="O145" t="s">
        <v>220</v>
      </c>
      <c r="P145" t="s">
        <v>228</v>
      </c>
      <c r="Q145" t="s">
        <v>222</v>
      </c>
      <c r="R145" t="s">
        <v>223</v>
      </c>
      <c r="S145">
        <v>16</v>
      </c>
      <c r="T145">
        <v>94</v>
      </c>
      <c r="U145">
        <f t="shared" si="9"/>
        <v>-8.61228478317256</v>
      </c>
      <c r="V145">
        <f t="shared" si="10"/>
        <v>-1035.87740957091</v>
      </c>
      <c r="W145">
        <f t="shared" si="11"/>
        <v>-8612.28478317256</v>
      </c>
      <c r="X145">
        <f t="shared" si="8"/>
        <v>-3.47609868983527</v>
      </c>
      <c r="Y145">
        <v>25</v>
      </c>
    </row>
    <row r="146" spans="1:25">
      <c r="A146" s="1">
        <v>165</v>
      </c>
      <c r="B146" t="s">
        <v>279</v>
      </c>
      <c r="C146" t="s">
        <v>216</v>
      </c>
      <c r="D146" t="s">
        <v>269</v>
      </c>
      <c r="E146" t="s">
        <v>270</v>
      </c>
      <c r="F146" t="s">
        <v>41</v>
      </c>
      <c r="G146">
        <v>25</v>
      </c>
      <c r="H146">
        <v>0</v>
      </c>
      <c r="I146">
        <v>49</v>
      </c>
      <c r="J146">
        <v>5</v>
      </c>
      <c r="K146">
        <v>10</v>
      </c>
      <c r="L146">
        <v>1</v>
      </c>
      <c r="M146">
        <v>24</v>
      </c>
      <c r="N146" t="s">
        <v>29</v>
      </c>
      <c r="O146" t="s">
        <v>220</v>
      </c>
      <c r="P146" t="s">
        <v>228</v>
      </c>
      <c r="Q146" t="s">
        <v>222</v>
      </c>
      <c r="R146" t="s">
        <v>223</v>
      </c>
      <c r="S146">
        <v>65</v>
      </c>
      <c r="T146">
        <v>36</v>
      </c>
      <c r="U146">
        <f t="shared" si="9"/>
        <v>-1.86752391195725</v>
      </c>
      <c r="V146">
        <f t="shared" si="10"/>
        <v>-224.623997108161</v>
      </c>
      <c r="W146">
        <f t="shared" si="11"/>
        <v>-1867.52391195725</v>
      </c>
      <c r="X146">
        <f t="shared" si="8"/>
        <v>-0.75377180237638</v>
      </c>
      <c r="Y146">
        <v>25</v>
      </c>
    </row>
    <row r="147" spans="1:25">
      <c r="A147" s="1">
        <v>166</v>
      </c>
      <c r="B147" t="s">
        <v>280</v>
      </c>
      <c r="C147" t="s">
        <v>216</v>
      </c>
      <c r="D147" t="s">
        <v>269</v>
      </c>
      <c r="E147" t="s">
        <v>270</v>
      </c>
      <c r="F147" t="s">
        <v>41</v>
      </c>
      <c r="G147">
        <v>25</v>
      </c>
      <c r="H147">
        <v>0</v>
      </c>
      <c r="I147">
        <v>49</v>
      </c>
      <c r="J147">
        <v>5</v>
      </c>
      <c r="K147">
        <v>10</v>
      </c>
      <c r="L147">
        <v>1</v>
      </c>
      <c r="M147">
        <v>24</v>
      </c>
      <c r="N147" t="s">
        <v>29</v>
      </c>
      <c r="O147" t="s">
        <v>220</v>
      </c>
      <c r="P147" t="s">
        <v>228</v>
      </c>
      <c r="Q147" t="s">
        <v>222</v>
      </c>
      <c r="R147" t="s">
        <v>223</v>
      </c>
      <c r="S147">
        <v>24</v>
      </c>
      <c r="T147">
        <v>14</v>
      </c>
      <c r="U147">
        <f t="shared" si="9"/>
        <v>-0.698306522712251</v>
      </c>
      <c r="V147">
        <f t="shared" si="10"/>
        <v>-83.9916433380144</v>
      </c>
      <c r="W147">
        <f t="shared" si="11"/>
        <v>-698.306522712251</v>
      </c>
      <c r="X147">
        <f t="shared" si="8"/>
        <v>-0.281851152140988</v>
      </c>
      <c r="Y147">
        <v>25</v>
      </c>
    </row>
    <row r="148" spans="1:25">
      <c r="A148" s="1">
        <v>169</v>
      </c>
      <c r="B148" t="s">
        <v>281</v>
      </c>
      <c r="C148" t="s">
        <v>216</v>
      </c>
      <c r="D148" t="s">
        <v>269</v>
      </c>
      <c r="E148" t="s">
        <v>270</v>
      </c>
      <c r="F148" t="s">
        <v>41</v>
      </c>
      <c r="G148">
        <v>25</v>
      </c>
      <c r="H148">
        <v>0</v>
      </c>
      <c r="I148">
        <v>49</v>
      </c>
      <c r="J148">
        <v>5</v>
      </c>
      <c r="K148">
        <v>10</v>
      </c>
      <c r="L148">
        <v>1</v>
      </c>
      <c r="M148">
        <v>24</v>
      </c>
      <c r="N148" t="s">
        <v>29</v>
      </c>
      <c r="O148" t="s">
        <v>220</v>
      </c>
      <c r="P148" t="s">
        <v>228</v>
      </c>
      <c r="Q148" t="s">
        <v>222</v>
      </c>
      <c r="R148" t="s">
        <v>223</v>
      </c>
      <c r="S148">
        <v>26</v>
      </c>
      <c r="T148">
        <v>38</v>
      </c>
      <c r="U148">
        <f t="shared" si="9"/>
        <v>-1.98235317461737</v>
      </c>
      <c r="V148">
        <f t="shared" si="10"/>
        <v>-238.43555143341</v>
      </c>
      <c r="W148">
        <f t="shared" si="11"/>
        <v>-1982.35317461737</v>
      </c>
      <c r="X148">
        <f t="shared" si="8"/>
        <v>-0.800119300112113</v>
      </c>
      <c r="Y148">
        <v>25</v>
      </c>
    </row>
    <row r="149" spans="1:25">
      <c r="A149" s="1">
        <v>170</v>
      </c>
      <c r="B149" t="s">
        <v>282</v>
      </c>
      <c r="C149" t="s">
        <v>216</v>
      </c>
      <c r="D149" t="s">
        <v>269</v>
      </c>
      <c r="E149" t="s">
        <v>270</v>
      </c>
      <c r="F149" t="s">
        <v>41</v>
      </c>
      <c r="G149">
        <v>25</v>
      </c>
      <c r="H149">
        <v>0</v>
      </c>
      <c r="I149">
        <v>49</v>
      </c>
      <c r="J149">
        <v>5</v>
      </c>
      <c r="K149">
        <v>10</v>
      </c>
      <c r="L149">
        <v>1</v>
      </c>
      <c r="M149">
        <v>24</v>
      </c>
      <c r="N149" t="s">
        <v>29</v>
      </c>
      <c r="O149" t="s">
        <v>220</v>
      </c>
      <c r="P149" t="s">
        <v>228</v>
      </c>
      <c r="Q149" t="s">
        <v>222</v>
      </c>
      <c r="R149" t="s">
        <v>223</v>
      </c>
      <c r="S149">
        <v>17</v>
      </c>
      <c r="T149">
        <v>7</v>
      </c>
      <c r="U149">
        <f t="shared" si="9"/>
        <v>-0.347428289604755</v>
      </c>
      <c r="V149">
        <f t="shared" si="10"/>
        <v>-41.7883437099778</v>
      </c>
      <c r="W149">
        <f t="shared" si="11"/>
        <v>-347.428289604755</v>
      </c>
      <c r="X149">
        <f t="shared" si="8"/>
        <v>-0.14022934130865</v>
      </c>
      <c r="Y149">
        <v>25</v>
      </c>
    </row>
    <row r="150" spans="1:25">
      <c r="A150" s="1">
        <v>171</v>
      </c>
      <c r="B150" t="s">
        <v>283</v>
      </c>
      <c r="C150" t="s">
        <v>216</v>
      </c>
      <c r="D150" t="s">
        <v>269</v>
      </c>
      <c r="E150" t="s">
        <v>270</v>
      </c>
      <c r="F150" t="s">
        <v>41</v>
      </c>
      <c r="G150">
        <v>25</v>
      </c>
      <c r="H150">
        <v>0</v>
      </c>
      <c r="I150">
        <v>49</v>
      </c>
      <c r="J150">
        <v>5</v>
      </c>
      <c r="K150">
        <v>10</v>
      </c>
      <c r="L150">
        <v>1</v>
      </c>
      <c r="M150">
        <v>24</v>
      </c>
      <c r="N150" t="s">
        <v>29</v>
      </c>
      <c r="O150" t="s">
        <v>220</v>
      </c>
      <c r="P150" t="s">
        <v>228</v>
      </c>
      <c r="Q150" t="s">
        <v>222</v>
      </c>
      <c r="R150" t="s">
        <v>223</v>
      </c>
      <c r="S150">
        <v>50</v>
      </c>
      <c r="T150">
        <v>19</v>
      </c>
      <c r="U150">
        <f t="shared" si="9"/>
        <v>-0.953058370035214</v>
      </c>
      <c r="V150">
        <f t="shared" si="10"/>
        <v>-114.632952854849</v>
      </c>
      <c r="W150">
        <f t="shared" si="11"/>
        <v>-953.058370035214</v>
      </c>
      <c r="X150">
        <f t="shared" si="8"/>
        <v>-0.38467433843909</v>
      </c>
      <c r="Y150">
        <v>25</v>
      </c>
    </row>
    <row r="151" spans="1:25">
      <c r="A151" s="1">
        <v>172</v>
      </c>
      <c r="B151" t="s">
        <v>284</v>
      </c>
      <c r="C151" t="s">
        <v>216</v>
      </c>
      <c r="D151" t="s">
        <v>269</v>
      </c>
      <c r="E151" t="s">
        <v>270</v>
      </c>
      <c r="F151" t="s">
        <v>41</v>
      </c>
      <c r="G151">
        <v>25</v>
      </c>
      <c r="H151">
        <v>0</v>
      </c>
      <c r="I151">
        <v>49</v>
      </c>
      <c r="J151">
        <v>5</v>
      </c>
      <c r="K151">
        <v>10</v>
      </c>
      <c r="L151">
        <v>1</v>
      </c>
      <c r="M151">
        <v>24</v>
      </c>
      <c r="N151" t="s">
        <v>29</v>
      </c>
      <c r="O151" t="s">
        <v>220</v>
      </c>
      <c r="P151" t="s">
        <v>228</v>
      </c>
      <c r="Q151" t="s">
        <v>222</v>
      </c>
      <c r="R151" t="s">
        <v>223</v>
      </c>
      <c r="S151">
        <v>52</v>
      </c>
      <c r="T151">
        <v>26</v>
      </c>
      <c r="U151">
        <f t="shared" si="9"/>
        <v>-1.31860547566955</v>
      </c>
      <c r="V151">
        <f t="shared" si="10"/>
        <v>-158.600610496698</v>
      </c>
      <c r="W151">
        <f t="shared" si="11"/>
        <v>-1318.60547566955</v>
      </c>
      <c r="X151">
        <f t="shared" si="8"/>
        <v>-0.532216813747308</v>
      </c>
      <c r="Y151">
        <v>25</v>
      </c>
    </row>
    <row r="152" spans="1:25">
      <c r="A152" s="1">
        <v>173</v>
      </c>
      <c r="B152" t="s">
        <v>285</v>
      </c>
      <c r="C152" t="s">
        <v>216</v>
      </c>
      <c r="D152" t="s">
        <v>269</v>
      </c>
      <c r="E152" t="s">
        <v>270</v>
      </c>
      <c r="F152" t="s">
        <v>41</v>
      </c>
      <c r="G152">
        <v>25</v>
      </c>
      <c r="H152">
        <v>0</v>
      </c>
      <c r="I152">
        <v>49</v>
      </c>
      <c r="J152">
        <v>5</v>
      </c>
      <c r="K152">
        <v>10</v>
      </c>
      <c r="L152">
        <v>1</v>
      </c>
      <c r="M152">
        <v>24</v>
      </c>
      <c r="N152" t="s">
        <v>29</v>
      </c>
      <c r="O152" t="s">
        <v>220</v>
      </c>
      <c r="P152" t="s">
        <v>228</v>
      </c>
      <c r="Q152" t="s">
        <v>222</v>
      </c>
      <c r="R152" t="s">
        <v>223</v>
      </c>
      <c r="S152">
        <v>48</v>
      </c>
      <c r="T152">
        <v>42</v>
      </c>
      <c r="U152">
        <f t="shared" si="9"/>
        <v>-2.21837844422976</v>
      </c>
      <c r="V152">
        <f t="shared" si="10"/>
        <v>-266.824446022343</v>
      </c>
      <c r="W152">
        <f t="shared" si="11"/>
        <v>-2218.37844422976</v>
      </c>
      <c r="X152">
        <f t="shared" si="8"/>
        <v>-0.895384047054841</v>
      </c>
      <c r="Y152">
        <v>25</v>
      </c>
    </row>
    <row r="153" spans="1:25">
      <c r="A153" s="1">
        <v>174</v>
      </c>
      <c r="B153" t="s">
        <v>286</v>
      </c>
      <c r="C153" t="s">
        <v>216</v>
      </c>
      <c r="D153" t="s">
        <v>269</v>
      </c>
      <c r="E153" t="s">
        <v>270</v>
      </c>
      <c r="F153" t="s">
        <v>41</v>
      </c>
      <c r="G153">
        <v>25</v>
      </c>
      <c r="H153">
        <v>0</v>
      </c>
      <c r="I153">
        <v>49</v>
      </c>
      <c r="J153">
        <v>5</v>
      </c>
      <c r="K153">
        <v>10</v>
      </c>
      <c r="L153">
        <v>1</v>
      </c>
      <c r="M153">
        <v>24</v>
      </c>
      <c r="N153" t="s">
        <v>29</v>
      </c>
      <c r="O153" t="s">
        <v>220</v>
      </c>
      <c r="P153" t="s">
        <v>228</v>
      </c>
      <c r="Q153" t="s">
        <v>222</v>
      </c>
      <c r="R153" t="s">
        <v>223</v>
      </c>
      <c r="S153">
        <v>42</v>
      </c>
      <c r="T153">
        <v>58</v>
      </c>
      <c r="U153">
        <f t="shared" si="9"/>
        <v>-3.28259810965713</v>
      </c>
      <c r="V153">
        <f t="shared" si="10"/>
        <v>-394.827773593592</v>
      </c>
      <c r="W153">
        <f t="shared" si="11"/>
        <v>-3282.59810965713</v>
      </c>
      <c r="X153">
        <f t="shared" si="8"/>
        <v>-1.3249254147436</v>
      </c>
      <c r="Y153">
        <v>25</v>
      </c>
    </row>
    <row r="154" spans="1:25">
      <c r="A154" s="1">
        <v>175</v>
      </c>
      <c r="B154" t="s">
        <v>287</v>
      </c>
      <c r="C154" t="s">
        <v>216</v>
      </c>
      <c r="D154" t="s">
        <v>269</v>
      </c>
      <c r="E154" t="s">
        <v>270</v>
      </c>
      <c r="F154" t="s">
        <v>41</v>
      </c>
      <c r="G154">
        <v>25</v>
      </c>
      <c r="H154">
        <v>0</v>
      </c>
      <c r="I154">
        <v>49</v>
      </c>
      <c r="J154">
        <v>5</v>
      </c>
      <c r="K154">
        <v>10</v>
      </c>
      <c r="L154">
        <v>1</v>
      </c>
      <c r="M154">
        <v>24</v>
      </c>
      <c r="N154" t="s">
        <v>29</v>
      </c>
      <c r="O154" t="s">
        <v>220</v>
      </c>
      <c r="P154" t="s">
        <v>228</v>
      </c>
      <c r="Q154" t="s">
        <v>222</v>
      </c>
      <c r="R154" t="s">
        <v>223</v>
      </c>
      <c r="S154">
        <v>28</v>
      </c>
      <c r="T154">
        <v>15</v>
      </c>
      <c r="U154">
        <f t="shared" si="9"/>
        <v>-0.748922624287968</v>
      </c>
      <c r="V154">
        <f t="shared" si="10"/>
        <v>-90.0796998181342</v>
      </c>
      <c r="W154">
        <f t="shared" si="11"/>
        <v>-748.922624287968</v>
      </c>
      <c r="X154">
        <f t="shared" si="8"/>
        <v>-0.302280871872934</v>
      </c>
      <c r="Y154">
        <v>25</v>
      </c>
    </row>
    <row r="155" spans="1:25">
      <c r="A155" s="1">
        <v>176</v>
      </c>
      <c r="B155" t="s">
        <v>288</v>
      </c>
      <c r="C155" t="s">
        <v>216</v>
      </c>
      <c r="D155" t="s">
        <v>269</v>
      </c>
      <c r="E155" t="s">
        <v>270</v>
      </c>
      <c r="F155" t="s">
        <v>41</v>
      </c>
      <c r="G155">
        <v>25</v>
      </c>
      <c r="H155">
        <v>0</v>
      </c>
      <c r="I155">
        <v>49</v>
      </c>
      <c r="J155">
        <v>5</v>
      </c>
      <c r="K155">
        <v>10</v>
      </c>
      <c r="L155">
        <v>1</v>
      </c>
      <c r="M155">
        <v>24</v>
      </c>
      <c r="N155" t="s">
        <v>29</v>
      </c>
      <c r="O155" t="s">
        <v>220</v>
      </c>
      <c r="P155" t="s">
        <v>228</v>
      </c>
      <c r="Q155" t="s">
        <v>222</v>
      </c>
      <c r="R155" t="s">
        <v>223</v>
      </c>
      <c r="S155">
        <v>40</v>
      </c>
      <c r="T155">
        <v>7</v>
      </c>
      <c r="U155">
        <f t="shared" si="9"/>
        <v>-0.347428289604755</v>
      </c>
      <c r="V155">
        <f t="shared" si="10"/>
        <v>-41.7883437099778</v>
      </c>
      <c r="W155">
        <f t="shared" si="11"/>
        <v>-347.428289604755</v>
      </c>
      <c r="X155">
        <f t="shared" si="8"/>
        <v>-0.14022934130865</v>
      </c>
      <c r="Y155">
        <v>25</v>
      </c>
    </row>
    <row r="156" spans="1:25">
      <c r="A156" s="1">
        <v>177</v>
      </c>
      <c r="B156" t="s">
        <v>289</v>
      </c>
      <c r="C156" t="s">
        <v>290</v>
      </c>
      <c r="D156" t="s">
        <v>291</v>
      </c>
      <c r="E156" t="s">
        <v>65</v>
      </c>
      <c r="F156" t="s">
        <v>292</v>
      </c>
      <c r="G156">
        <v>25</v>
      </c>
      <c r="H156">
        <v>4</v>
      </c>
      <c r="I156">
        <v>43</v>
      </c>
      <c r="J156">
        <v>49</v>
      </c>
      <c r="K156">
        <v>10</v>
      </c>
      <c r="L156">
        <v>17</v>
      </c>
      <c r="M156">
        <v>12</v>
      </c>
      <c r="N156" t="s">
        <v>293</v>
      </c>
      <c r="O156" t="s">
        <v>294</v>
      </c>
      <c r="P156" t="s">
        <v>228</v>
      </c>
      <c r="Q156" t="s">
        <v>295</v>
      </c>
      <c r="R156" t="s">
        <v>296</v>
      </c>
      <c r="S156">
        <v>83</v>
      </c>
      <c r="T156">
        <v>92</v>
      </c>
      <c r="U156">
        <f t="shared" si="9"/>
        <v>-7.87385718456282</v>
      </c>
      <c r="V156">
        <f t="shared" si="10"/>
        <v>-947.060041443688</v>
      </c>
      <c r="W156">
        <f t="shared" si="11"/>
        <v>-7873.85718456282</v>
      </c>
      <c r="X156">
        <f t="shared" si="8"/>
        <v>-3.17805383034795</v>
      </c>
      <c r="Y156">
        <v>25</v>
      </c>
    </row>
    <row r="157" spans="1:25">
      <c r="A157" s="1">
        <v>178</v>
      </c>
      <c r="B157" t="s">
        <v>289</v>
      </c>
      <c r="C157" t="s">
        <v>290</v>
      </c>
      <c r="D157" t="s">
        <v>291</v>
      </c>
      <c r="E157" t="s">
        <v>65</v>
      </c>
      <c r="F157" t="s">
        <v>292</v>
      </c>
      <c r="G157">
        <v>25</v>
      </c>
      <c r="H157">
        <v>4</v>
      </c>
      <c r="I157">
        <v>43</v>
      </c>
      <c r="J157">
        <v>52</v>
      </c>
      <c r="K157">
        <v>10</v>
      </c>
      <c r="L157">
        <v>17</v>
      </c>
      <c r="M157">
        <v>12</v>
      </c>
      <c r="N157" t="s">
        <v>293</v>
      </c>
      <c r="O157" t="s">
        <v>297</v>
      </c>
      <c r="P157" t="s">
        <v>228</v>
      </c>
      <c r="Q157" t="s">
        <v>295</v>
      </c>
      <c r="R157" t="s">
        <v>296</v>
      </c>
      <c r="S157">
        <v>80</v>
      </c>
      <c r="T157">
        <v>91</v>
      </c>
      <c r="U157">
        <f t="shared" si="9"/>
        <v>-7.5691034911523</v>
      </c>
      <c r="V157">
        <f t="shared" si="10"/>
        <v>-910.404557511703</v>
      </c>
      <c r="W157">
        <f t="shared" si="11"/>
        <v>-7569.1034911523</v>
      </c>
      <c r="X157">
        <f t="shared" si="8"/>
        <v>-3.05504885071041</v>
      </c>
      <c r="Y157">
        <v>25</v>
      </c>
    </row>
    <row r="158" spans="1:25">
      <c r="A158" s="1">
        <v>179</v>
      </c>
      <c r="B158" t="s">
        <v>289</v>
      </c>
      <c r="C158" t="s">
        <v>290</v>
      </c>
      <c r="D158" t="s">
        <v>291</v>
      </c>
      <c r="E158" t="s">
        <v>65</v>
      </c>
      <c r="F158" t="s">
        <v>292</v>
      </c>
      <c r="G158">
        <v>25</v>
      </c>
      <c r="H158">
        <v>4</v>
      </c>
      <c r="I158">
        <v>43</v>
      </c>
      <c r="J158">
        <v>50</v>
      </c>
      <c r="K158">
        <v>10</v>
      </c>
      <c r="L158">
        <v>17</v>
      </c>
      <c r="M158">
        <v>12</v>
      </c>
      <c r="N158" t="s">
        <v>293</v>
      </c>
      <c r="O158" t="s">
        <v>298</v>
      </c>
      <c r="P158" t="s">
        <v>228</v>
      </c>
      <c r="Q158" t="s">
        <v>295</v>
      </c>
      <c r="R158" t="s">
        <v>296</v>
      </c>
      <c r="S158">
        <v>79</v>
      </c>
      <c r="T158">
        <v>92</v>
      </c>
      <c r="U158">
        <f t="shared" si="9"/>
        <v>-7.87385718456282</v>
      </c>
      <c r="V158">
        <f t="shared" si="10"/>
        <v>-947.060041443688</v>
      </c>
      <c r="W158">
        <f t="shared" si="11"/>
        <v>-7873.85718456282</v>
      </c>
      <c r="X158">
        <f t="shared" si="8"/>
        <v>-3.17805383034795</v>
      </c>
      <c r="Y158">
        <v>25</v>
      </c>
    </row>
    <row r="159" spans="1:25">
      <c r="A159" s="1">
        <v>180</v>
      </c>
      <c r="B159" t="s">
        <v>289</v>
      </c>
      <c r="C159" t="s">
        <v>290</v>
      </c>
      <c r="D159" t="s">
        <v>291</v>
      </c>
      <c r="E159" t="s">
        <v>65</v>
      </c>
      <c r="F159" t="s">
        <v>299</v>
      </c>
      <c r="G159">
        <v>25</v>
      </c>
      <c r="H159">
        <v>8</v>
      </c>
      <c r="I159">
        <v>43</v>
      </c>
      <c r="J159">
        <v>49</v>
      </c>
      <c r="K159">
        <v>10</v>
      </c>
      <c r="L159">
        <v>17</v>
      </c>
      <c r="M159">
        <v>12</v>
      </c>
      <c r="N159" t="s">
        <v>293</v>
      </c>
      <c r="O159" t="s">
        <v>294</v>
      </c>
      <c r="P159" t="s">
        <v>228</v>
      </c>
      <c r="Q159" t="s">
        <v>295</v>
      </c>
      <c r="R159" t="s">
        <v>296</v>
      </c>
      <c r="S159">
        <v>30</v>
      </c>
      <c r="T159">
        <v>75</v>
      </c>
      <c r="U159">
        <f t="shared" si="9"/>
        <v>-4.82113249981527</v>
      </c>
      <c r="V159">
        <f t="shared" si="10"/>
        <v>-579.881224418483</v>
      </c>
      <c r="W159">
        <f t="shared" si="11"/>
        <v>-4821.13249981527</v>
      </c>
      <c r="X159">
        <f t="shared" si="8"/>
        <v>-1.94591014905531</v>
      </c>
      <c r="Y159">
        <v>25</v>
      </c>
    </row>
    <row r="160" spans="1:25">
      <c r="A160" s="1">
        <v>181</v>
      </c>
      <c r="B160" t="s">
        <v>289</v>
      </c>
      <c r="C160" t="s">
        <v>290</v>
      </c>
      <c r="D160" t="s">
        <v>291</v>
      </c>
      <c r="E160" t="s">
        <v>65</v>
      </c>
      <c r="F160" t="s">
        <v>299</v>
      </c>
      <c r="G160">
        <v>25</v>
      </c>
      <c r="H160">
        <v>8</v>
      </c>
      <c r="I160">
        <v>43</v>
      </c>
      <c r="J160">
        <v>51</v>
      </c>
      <c r="K160">
        <v>10</v>
      </c>
      <c r="L160">
        <v>17</v>
      </c>
      <c r="M160">
        <v>12</v>
      </c>
      <c r="N160" t="s">
        <v>293</v>
      </c>
      <c r="O160" t="s">
        <v>300</v>
      </c>
      <c r="P160" t="s">
        <v>228</v>
      </c>
      <c r="Q160" t="s">
        <v>295</v>
      </c>
      <c r="R160" t="s">
        <v>296</v>
      </c>
      <c r="S160">
        <v>86</v>
      </c>
      <c r="T160">
        <v>90</v>
      </c>
      <c r="U160">
        <f t="shared" si="9"/>
        <v>-7.29505957049136</v>
      </c>
      <c r="V160">
        <f t="shared" si="10"/>
        <v>-877.442815791599</v>
      </c>
      <c r="W160">
        <f t="shared" si="11"/>
        <v>-7295.05957049136</v>
      </c>
      <c r="X160">
        <f t="shared" si="8"/>
        <v>-2.94443897916644</v>
      </c>
      <c r="Y160">
        <v>25</v>
      </c>
    </row>
    <row r="161" spans="1:25">
      <c r="A161" s="1">
        <v>183</v>
      </c>
      <c r="B161" t="s">
        <v>289</v>
      </c>
      <c r="C161" t="s">
        <v>290</v>
      </c>
      <c r="D161" t="s">
        <v>291</v>
      </c>
      <c r="E161" t="s">
        <v>65</v>
      </c>
      <c r="F161" t="s">
        <v>301</v>
      </c>
      <c r="G161">
        <v>25</v>
      </c>
      <c r="H161">
        <v>1</v>
      </c>
      <c r="I161">
        <v>43</v>
      </c>
      <c r="J161">
        <v>51</v>
      </c>
      <c r="K161">
        <v>10</v>
      </c>
      <c r="L161">
        <v>17</v>
      </c>
      <c r="M161">
        <v>12</v>
      </c>
      <c r="N161" t="s">
        <v>293</v>
      </c>
      <c r="O161" t="s">
        <v>300</v>
      </c>
      <c r="P161" t="s">
        <v>228</v>
      </c>
      <c r="Q161" t="s">
        <v>295</v>
      </c>
      <c r="R161" t="s">
        <v>296</v>
      </c>
      <c r="S161">
        <v>19</v>
      </c>
      <c r="T161">
        <v>70</v>
      </c>
      <c r="U161">
        <f t="shared" si="9"/>
        <v>-4.29759900600002</v>
      </c>
      <c r="V161">
        <f t="shared" si="10"/>
        <v>-516.911114505656</v>
      </c>
      <c r="W161">
        <f t="shared" si="11"/>
        <v>-4297.59900600002</v>
      </c>
      <c r="X161">
        <f t="shared" si="8"/>
        <v>-1.73460105538811</v>
      </c>
      <c r="Y161">
        <v>25</v>
      </c>
    </row>
    <row r="162" spans="1:25">
      <c r="A162" s="1">
        <v>185</v>
      </c>
      <c r="B162" t="s">
        <v>289</v>
      </c>
      <c r="C162" t="s">
        <v>290</v>
      </c>
      <c r="D162" t="s">
        <v>291</v>
      </c>
      <c r="E162" t="s">
        <v>65</v>
      </c>
      <c r="F162" t="s">
        <v>41</v>
      </c>
      <c r="G162">
        <v>25</v>
      </c>
      <c r="H162">
        <v>0</v>
      </c>
      <c r="I162">
        <v>43</v>
      </c>
      <c r="J162">
        <v>51</v>
      </c>
      <c r="K162">
        <v>10</v>
      </c>
      <c r="L162">
        <v>17</v>
      </c>
      <c r="M162">
        <v>12</v>
      </c>
      <c r="N162" t="s">
        <v>293</v>
      </c>
      <c r="O162" t="s">
        <v>300</v>
      </c>
      <c r="P162" t="s">
        <v>228</v>
      </c>
      <c r="Q162" t="s">
        <v>295</v>
      </c>
      <c r="R162" t="s">
        <v>296</v>
      </c>
      <c r="S162">
        <v>13</v>
      </c>
      <c r="T162">
        <v>80</v>
      </c>
      <c r="U162">
        <f t="shared" si="9"/>
        <v>-5.44378209052005</v>
      </c>
      <c r="V162">
        <f t="shared" si="10"/>
        <v>-654.772924046193</v>
      </c>
      <c r="W162">
        <f t="shared" si="11"/>
        <v>-5443.78209052005</v>
      </c>
      <c r="X162">
        <f t="shared" si="8"/>
        <v>-2.19722457733622</v>
      </c>
      <c r="Y162">
        <v>25</v>
      </c>
    </row>
    <row r="163" spans="1:25">
      <c r="A163" s="1">
        <v>186</v>
      </c>
      <c r="B163" t="s">
        <v>289</v>
      </c>
      <c r="C163" t="s">
        <v>290</v>
      </c>
      <c r="D163" t="s">
        <v>291</v>
      </c>
      <c r="E163" t="s">
        <v>65</v>
      </c>
      <c r="F163" t="s">
        <v>292</v>
      </c>
      <c r="G163">
        <v>25</v>
      </c>
      <c r="H163">
        <v>4</v>
      </c>
      <c r="I163">
        <v>43</v>
      </c>
      <c r="J163">
        <v>46</v>
      </c>
      <c r="K163">
        <v>10</v>
      </c>
      <c r="L163">
        <v>17</v>
      </c>
      <c r="M163">
        <v>12</v>
      </c>
      <c r="N163" t="s">
        <v>293</v>
      </c>
      <c r="O163" t="s">
        <v>302</v>
      </c>
      <c r="P163" t="s">
        <v>228</v>
      </c>
      <c r="Q163" t="s">
        <v>295</v>
      </c>
      <c r="R163" t="s">
        <v>296</v>
      </c>
      <c r="S163">
        <v>41</v>
      </c>
      <c r="T163">
        <v>79</v>
      </c>
      <c r="U163">
        <f t="shared" si="9"/>
        <v>-5.3090982806732</v>
      </c>
      <c r="V163">
        <f t="shared" si="10"/>
        <v>-638.573283698965</v>
      </c>
      <c r="W163">
        <f t="shared" si="11"/>
        <v>-5309.0982806732</v>
      </c>
      <c r="X163">
        <f t="shared" si="8"/>
        <v>-2.14286336811733</v>
      </c>
      <c r="Y163">
        <v>25</v>
      </c>
    </row>
    <row r="164" spans="1:25">
      <c r="A164" s="1">
        <v>187</v>
      </c>
      <c r="B164" t="s">
        <v>289</v>
      </c>
      <c r="C164" t="s">
        <v>290</v>
      </c>
      <c r="D164" t="s">
        <v>291</v>
      </c>
      <c r="E164" t="s">
        <v>65</v>
      </c>
      <c r="F164" t="s">
        <v>292</v>
      </c>
      <c r="G164">
        <v>25</v>
      </c>
      <c r="H164">
        <v>4</v>
      </c>
      <c r="I164">
        <v>43</v>
      </c>
      <c r="J164">
        <v>48</v>
      </c>
      <c r="K164">
        <v>10</v>
      </c>
      <c r="L164">
        <v>17</v>
      </c>
      <c r="M164">
        <v>12</v>
      </c>
      <c r="N164" t="s">
        <v>293</v>
      </c>
      <c r="O164" t="s">
        <v>303</v>
      </c>
      <c r="P164" t="s">
        <v>228</v>
      </c>
      <c r="Q164" t="s">
        <v>295</v>
      </c>
      <c r="R164" t="s">
        <v>296</v>
      </c>
      <c r="S164">
        <v>73</v>
      </c>
      <c r="T164">
        <v>90</v>
      </c>
      <c r="U164">
        <f t="shared" si="9"/>
        <v>-7.29505957049136</v>
      </c>
      <c r="V164">
        <f t="shared" si="10"/>
        <v>-877.442815791599</v>
      </c>
      <c r="W164">
        <f t="shared" si="11"/>
        <v>-7295.05957049136</v>
      </c>
      <c r="X164">
        <f t="shared" si="8"/>
        <v>-2.94443897916644</v>
      </c>
      <c r="Y164">
        <v>25</v>
      </c>
    </row>
    <row r="165" spans="1:25">
      <c r="A165" s="1">
        <v>188</v>
      </c>
      <c r="B165" t="s">
        <v>289</v>
      </c>
      <c r="C165" t="s">
        <v>290</v>
      </c>
      <c r="D165" t="s">
        <v>291</v>
      </c>
      <c r="E165" t="s">
        <v>65</v>
      </c>
      <c r="F165" t="s">
        <v>292</v>
      </c>
      <c r="G165">
        <v>25</v>
      </c>
      <c r="H165">
        <v>4</v>
      </c>
      <c r="I165">
        <v>43</v>
      </c>
      <c r="J165">
        <v>53</v>
      </c>
      <c r="K165">
        <v>10</v>
      </c>
      <c r="L165">
        <v>17</v>
      </c>
      <c r="M165">
        <v>12</v>
      </c>
      <c r="N165" t="s">
        <v>293</v>
      </c>
      <c r="O165" t="s">
        <v>304</v>
      </c>
      <c r="P165" t="s">
        <v>228</v>
      </c>
      <c r="Q165" t="s">
        <v>295</v>
      </c>
      <c r="R165" t="s">
        <v>296</v>
      </c>
      <c r="S165">
        <v>83</v>
      </c>
      <c r="T165">
        <v>91</v>
      </c>
      <c r="U165">
        <f t="shared" si="9"/>
        <v>-7.5691034911523</v>
      </c>
      <c r="V165">
        <f t="shared" si="10"/>
        <v>-910.404557511703</v>
      </c>
      <c r="W165">
        <f t="shared" si="11"/>
        <v>-7569.1034911523</v>
      </c>
      <c r="X165">
        <f t="shared" si="8"/>
        <v>-3.05504885071041</v>
      </c>
      <c r="Y165">
        <v>25</v>
      </c>
    </row>
    <row r="166" spans="1:25">
      <c r="A166" s="1">
        <v>189</v>
      </c>
      <c r="B166" t="s">
        <v>289</v>
      </c>
      <c r="C166" t="s">
        <v>305</v>
      </c>
      <c r="D166" t="s">
        <v>291</v>
      </c>
      <c r="E166" t="s">
        <v>306</v>
      </c>
      <c r="F166" t="s">
        <v>292</v>
      </c>
      <c r="G166">
        <v>25</v>
      </c>
      <c r="H166">
        <v>4</v>
      </c>
      <c r="I166">
        <v>43</v>
      </c>
      <c r="J166">
        <v>49</v>
      </c>
      <c r="K166">
        <v>10</v>
      </c>
      <c r="L166">
        <v>17</v>
      </c>
      <c r="M166">
        <v>12</v>
      </c>
      <c r="N166" t="s">
        <v>293</v>
      </c>
      <c r="O166" t="s">
        <v>294</v>
      </c>
      <c r="P166" t="s">
        <v>228</v>
      </c>
      <c r="Q166" t="s">
        <v>295</v>
      </c>
      <c r="R166" t="s">
        <v>296</v>
      </c>
      <c r="S166">
        <v>78</v>
      </c>
      <c r="T166">
        <v>90</v>
      </c>
      <c r="U166">
        <f t="shared" si="9"/>
        <v>-7.29505957049136</v>
      </c>
      <c r="V166">
        <f t="shared" si="10"/>
        <v>-877.442815791599</v>
      </c>
      <c r="W166">
        <f t="shared" si="11"/>
        <v>-7295.05957049136</v>
      </c>
      <c r="X166">
        <f t="shared" si="8"/>
        <v>-2.94443897916644</v>
      </c>
      <c r="Y166">
        <v>25</v>
      </c>
    </row>
    <row r="167" spans="1:25">
      <c r="A167" s="1">
        <v>190</v>
      </c>
      <c r="B167" t="s">
        <v>289</v>
      </c>
      <c r="C167" t="s">
        <v>307</v>
      </c>
      <c r="D167" t="s">
        <v>291</v>
      </c>
      <c r="E167" t="s">
        <v>308</v>
      </c>
      <c r="F167" t="s">
        <v>292</v>
      </c>
      <c r="G167">
        <v>25</v>
      </c>
      <c r="H167">
        <v>4</v>
      </c>
      <c r="I167">
        <v>43</v>
      </c>
      <c r="J167">
        <v>49</v>
      </c>
      <c r="K167">
        <v>10</v>
      </c>
      <c r="L167">
        <v>17</v>
      </c>
      <c r="M167">
        <v>12</v>
      </c>
      <c r="N167" t="s">
        <v>293</v>
      </c>
      <c r="O167" t="s">
        <v>294</v>
      </c>
      <c r="P167" t="s">
        <v>228</v>
      </c>
      <c r="Q167" t="s">
        <v>295</v>
      </c>
      <c r="R167" t="s">
        <v>296</v>
      </c>
      <c r="S167">
        <v>72</v>
      </c>
      <c r="T167">
        <v>91</v>
      </c>
      <c r="U167">
        <f t="shared" si="9"/>
        <v>-7.5691034911523</v>
      </c>
      <c r="V167">
        <f t="shared" si="10"/>
        <v>-910.404557511703</v>
      </c>
      <c r="W167">
        <f t="shared" si="11"/>
        <v>-7569.1034911523</v>
      </c>
      <c r="X167">
        <f t="shared" si="8"/>
        <v>-3.05504885071041</v>
      </c>
      <c r="Y167">
        <v>25</v>
      </c>
    </row>
    <row r="168" spans="1:25">
      <c r="A168" s="1">
        <v>191</v>
      </c>
      <c r="B168" t="s">
        <v>289</v>
      </c>
      <c r="C168" t="s">
        <v>309</v>
      </c>
      <c r="D168" t="s">
        <v>291</v>
      </c>
      <c r="E168" t="s">
        <v>310</v>
      </c>
      <c r="F168" t="s">
        <v>292</v>
      </c>
      <c r="G168">
        <v>25</v>
      </c>
      <c r="H168">
        <v>4</v>
      </c>
      <c r="I168">
        <v>43</v>
      </c>
      <c r="J168">
        <v>49</v>
      </c>
      <c r="K168">
        <v>10</v>
      </c>
      <c r="L168">
        <v>17</v>
      </c>
      <c r="M168">
        <v>12</v>
      </c>
      <c r="N168" t="s">
        <v>293</v>
      </c>
      <c r="O168" t="s">
        <v>294</v>
      </c>
      <c r="P168" t="s">
        <v>228</v>
      </c>
      <c r="Q168" t="s">
        <v>295</v>
      </c>
      <c r="R168" t="s">
        <v>296</v>
      </c>
      <c r="S168">
        <v>69</v>
      </c>
      <c r="T168">
        <v>92</v>
      </c>
      <c r="U168">
        <f t="shared" si="9"/>
        <v>-7.87385718456282</v>
      </c>
      <c r="V168">
        <f t="shared" si="10"/>
        <v>-947.060041443688</v>
      </c>
      <c r="W168">
        <f t="shared" si="11"/>
        <v>-7873.85718456282</v>
      </c>
      <c r="X168">
        <f t="shared" si="8"/>
        <v>-3.17805383034795</v>
      </c>
      <c r="Y168">
        <v>25</v>
      </c>
    </row>
    <row r="169" spans="1:25">
      <c r="A169" s="1">
        <v>192</v>
      </c>
      <c r="B169" t="s">
        <v>289</v>
      </c>
      <c r="C169" t="s">
        <v>311</v>
      </c>
      <c r="D169" t="s">
        <v>291</v>
      </c>
      <c r="E169" t="s">
        <v>312</v>
      </c>
      <c r="F169" t="s">
        <v>292</v>
      </c>
      <c r="G169">
        <v>25</v>
      </c>
      <c r="H169">
        <v>4</v>
      </c>
      <c r="I169">
        <v>43</v>
      </c>
      <c r="J169">
        <v>49</v>
      </c>
      <c r="K169">
        <v>10</v>
      </c>
      <c r="L169">
        <v>17</v>
      </c>
      <c r="M169">
        <v>12</v>
      </c>
      <c r="N169" t="s">
        <v>293</v>
      </c>
      <c r="O169" t="s">
        <v>294</v>
      </c>
      <c r="P169" t="s">
        <v>228</v>
      </c>
      <c r="Q169" t="s">
        <v>295</v>
      </c>
      <c r="R169" t="s">
        <v>296</v>
      </c>
      <c r="S169">
        <v>78</v>
      </c>
      <c r="T169">
        <v>91</v>
      </c>
      <c r="U169">
        <f t="shared" si="9"/>
        <v>-7.5691034911523</v>
      </c>
      <c r="V169">
        <f t="shared" si="10"/>
        <v>-910.404557511703</v>
      </c>
      <c r="W169">
        <f t="shared" si="11"/>
        <v>-7569.1034911523</v>
      </c>
      <c r="X169">
        <f t="shared" si="8"/>
        <v>-3.05504885071041</v>
      </c>
      <c r="Y169">
        <v>25</v>
      </c>
    </row>
    <row r="170" spans="1:25">
      <c r="A170" s="1">
        <v>193</v>
      </c>
      <c r="B170" t="s">
        <v>289</v>
      </c>
      <c r="C170" t="s">
        <v>313</v>
      </c>
      <c r="D170" t="s">
        <v>291</v>
      </c>
      <c r="E170" t="s">
        <v>55</v>
      </c>
      <c r="F170" t="s">
        <v>292</v>
      </c>
      <c r="G170">
        <v>25</v>
      </c>
      <c r="H170">
        <v>4</v>
      </c>
      <c r="I170">
        <v>43</v>
      </c>
      <c r="J170">
        <v>49</v>
      </c>
      <c r="K170">
        <v>10</v>
      </c>
      <c r="L170">
        <v>17</v>
      </c>
      <c r="M170">
        <v>12</v>
      </c>
      <c r="N170" t="s">
        <v>293</v>
      </c>
      <c r="O170" t="s">
        <v>294</v>
      </c>
      <c r="P170" t="s">
        <v>228</v>
      </c>
      <c r="Q170" t="s">
        <v>295</v>
      </c>
      <c r="R170" t="s">
        <v>296</v>
      </c>
      <c r="S170">
        <v>87</v>
      </c>
      <c r="T170">
        <v>95</v>
      </c>
      <c r="U170">
        <f t="shared" si="9"/>
        <v>-9.07673775472472</v>
      </c>
      <c r="V170">
        <f t="shared" si="10"/>
        <v>-1091.74137054663</v>
      </c>
      <c r="W170">
        <f t="shared" si="11"/>
        <v>-9076.73775472472</v>
      </c>
      <c r="X170">
        <f t="shared" ref="X170:X226" si="12">-LN((1+T170*0.01)/(1-T170*0.01))</f>
        <v>-3.66356164612965</v>
      </c>
      <c r="Y170">
        <v>25</v>
      </c>
    </row>
    <row r="171" spans="1:25">
      <c r="A171" s="1">
        <v>194</v>
      </c>
      <c r="B171" t="s">
        <v>289</v>
      </c>
      <c r="C171" t="s">
        <v>314</v>
      </c>
      <c r="D171" t="s">
        <v>291</v>
      </c>
      <c r="E171" t="s">
        <v>315</v>
      </c>
      <c r="F171" t="s">
        <v>292</v>
      </c>
      <c r="G171">
        <v>25</v>
      </c>
      <c r="H171">
        <v>4</v>
      </c>
      <c r="I171">
        <v>43</v>
      </c>
      <c r="J171">
        <v>49</v>
      </c>
      <c r="K171">
        <v>10</v>
      </c>
      <c r="L171">
        <v>17</v>
      </c>
      <c r="M171">
        <v>12</v>
      </c>
      <c r="N171" t="s">
        <v>293</v>
      </c>
      <c r="O171" t="s">
        <v>294</v>
      </c>
      <c r="P171" t="s">
        <v>228</v>
      </c>
      <c r="Q171" t="s">
        <v>295</v>
      </c>
      <c r="R171" t="s">
        <v>296</v>
      </c>
      <c r="S171">
        <v>92</v>
      </c>
      <c r="T171">
        <v>93</v>
      </c>
      <c r="U171">
        <f t="shared" si="9"/>
        <v>-8.21756135689019</v>
      </c>
      <c r="V171">
        <f t="shared" si="10"/>
        <v>-988.400451875173</v>
      </c>
      <c r="W171">
        <f t="shared" si="11"/>
        <v>-8217.56135689019</v>
      </c>
      <c r="X171">
        <f t="shared" si="12"/>
        <v>-3.31678003984957</v>
      </c>
      <c r="Y171">
        <v>25</v>
      </c>
    </row>
    <row r="172" spans="1:25">
      <c r="A172" s="1">
        <v>195</v>
      </c>
      <c r="B172" t="s">
        <v>289</v>
      </c>
      <c r="C172" t="s">
        <v>316</v>
      </c>
      <c r="D172" t="s">
        <v>291</v>
      </c>
      <c r="E172" t="s">
        <v>51</v>
      </c>
      <c r="F172" t="s">
        <v>292</v>
      </c>
      <c r="G172">
        <v>25</v>
      </c>
      <c r="H172">
        <v>4</v>
      </c>
      <c r="I172">
        <v>43</v>
      </c>
      <c r="J172">
        <v>49</v>
      </c>
      <c r="K172">
        <v>10</v>
      </c>
      <c r="L172">
        <v>17</v>
      </c>
      <c r="M172">
        <v>12</v>
      </c>
      <c r="N172" t="s">
        <v>293</v>
      </c>
      <c r="O172" t="s">
        <v>294</v>
      </c>
      <c r="P172" t="s">
        <v>228</v>
      </c>
      <c r="Q172" t="s">
        <v>295</v>
      </c>
      <c r="R172" t="s">
        <v>296</v>
      </c>
      <c r="S172">
        <v>78</v>
      </c>
      <c r="T172">
        <v>93</v>
      </c>
      <c r="U172">
        <f t="shared" si="9"/>
        <v>-8.21756135689019</v>
      </c>
      <c r="V172">
        <f t="shared" si="10"/>
        <v>-988.400451875173</v>
      </c>
      <c r="W172">
        <f t="shared" si="11"/>
        <v>-8217.56135689019</v>
      </c>
      <c r="X172">
        <f t="shared" si="12"/>
        <v>-3.31678003984957</v>
      </c>
      <c r="Y172">
        <v>25</v>
      </c>
    </row>
    <row r="173" spans="1:25">
      <c r="A173" s="1">
        <v>196</v>
      </c>
      <c r="B173" t="s">
        <v>289</v>
      </c>
      <c r="C173" t="s">
        <v>317</v>
      </c>
      <c r="D173" t="s">
        <v>291</v>
      </c>
      <c r="E173" t="s">
        <v>318</v>
      </c>
      <c r="F173" t="s">
        <v>292</v>
      </c>
      <c r="G173">
        <v>25</v>
      </c>
      <c r="H173">
        <v>4</v>
      </c>
      <c r="I173">
        <v>43</v>
      </c>
      <c r="J173">
        <v>49</v>
      </c>
      <c r="K173">
        <v>10</v>
      </c>
      <c r="L173">
        <v>17</v>
      </c>
      <c r="M173">
        <v>12</v>
      </c>
      <c r="N173" t="s">
        <v>293</v>
      </c>
      <c r="O173" t="s">
        <v>294</v>
      </c>
      <c r="P173" t="s">
        <v>228</v>
      </c>
      <c r="Q173" t="s">
        <v>295</v>
      </c>
      <c r="R173" t="s">
        <v>296</v>
      </c>
      <c r="S173">
        <v>88</v>
      </c>
      <c r="T173">
        <v>90</v>
      </c>
      <c r="U173">
        <f t="shared" si="9"/>
        <v>-7.29505957049136</v>
      </c>
      <c r="V173">
        <f t="shared" si="10"/>
        <v>-877.442815791599</v>
      </c>
      <c r="W173">
        <f t="shared" si="11"/>
        <v>-7295.05957049136</v>
      </c>
      <c r="X173">
        <f t="shared" si="12"/>
        <v>-2.94443897916644</v>
      </c>
      <c r="Y173">
        <v>25</v>
      </c>
    </row>
    <row r="174" spans="1:25">
      <c r="A174" s="1">
        <v>197</v>
      </c>
      <c r="B174" t="s">
        <v>289</v>
      </c>
      <c r="C174" t="s">
        <v>319</v>
      </c>
      <c r="D174" t="s">
        <v>291</v>
      </c>
      <c r="E174" t="s">
        <v>320</v>
      </c>
      <c r="F174" t="s">
        <v>292</v>
      </c>
      <c r="G174">
        <v>25</v>
      </c>
      <c r="H174">
        <v>4</v>
      </c>
      <c r="I174">
        <v>43</v>
      </c>
      <c r="J174">
        <v>49</v>
      </c>
      <c r="K174">
        <v>10</v>
      </c>
      <c r="L174">
        <v>17</v>
      </c>
      <c r="M174">
        <v>12</v>
      </c>
      <c r="N174" t="s">
        <v>293</v>
      </c>
      <c r="O174" t="s">
        <v>294</v>
      </c>
      <c r="P174" t="s">
        <v>228</v>
      </c>
      <c r="Q174" t="s">
        <v>295</v>
      </c>
      <c r="R174" t="s">
        <v>296</v>
      </c>
      <c r="S174">
        <v>84</v>
      </c>
      <c r="T174">
        <v>94</v>
      </c>
      <c r="U174">
        <f t="shared" si="9"/>
        <v>-8.61228478317256</v>
      </c>
      <c r="V174">
        <f t="shared" si="10"/>
        <v>-1035.87740957091</v>
      </c>
      <c r="W174">
        <f t="shared" si="11"/>
        <v>-8612.28478317256</v>
      </c>
      <c r="X174">
        <f t="shared" si="12"/>
        <v>-3.47609868983527</v>
      </c>
      <c r="Y174">
        <v>25</v>
      </c>
    </row>
    <row r="175" spans="1:25">
      <c r="A175" s="1">
        <v>198</v>
      </c>
      <c r="B175" t="s">
        <v>289</v>
      </c>
      <c r="C175" t="s">
        <v>321</v>
      </c>
      <c r="D175" t="s">
        <v>291</v>
      </c>
      <c r="E175" t="s">
        <v>59</v>
      </c>
      <c r="F175" t="s">
        <v>292</v>
      </c>
      <c r="G175">
        <v>25</v>
      </c>
      <c r="H175">
        <v>4</v>
      </c>
      <c r="I175">
        <v>43</v>
      </c>
      <c r="J175">
        <v>49</v>
      </c>
      <c r="K175">
        <v>10</v>
      </c>
      <c r="L175">
        <v>17</v>
      </c>
      <c r="M175">
        <v>12</v>
      </c>
      <c r="N175" t="s">
        <v>293</v>
      </c>
      <c r="O175" t="s">
        <v>294</v>
      </c>
      <c r="P175" t="s">
        <v>228</v>
      </c>
      <c r="Q175" t="s">
        <v>295</v>
      </c>
      <c r="R175" t="s">
        <v>296</v>
      </c>
      <c r="S175">
        <v>83</v>
      </c>
      <c r="T175">
        <v>94</v>
      </c>
      <c r="U175">
        <f t="shared" si="9"/>
        <v>-8.61228478317256</v>
      </c>
      <c r="V175">
        <f t="shared" si="10"/>
        <v>-1035.87740957091</v>
      </c>
      <c r="W175">
        <f t="shared" si="11"/>
        <v>-8612.28478317256</v>
      </c>
      <c r="X175">
        <f t="shared" si="12"/>
        <v>-3.47609868983527</v>
      </c>
      <c r="Y175">
        <v>25</v>
      </c>
    </row>
    <row r="176" spans="1:25">
      <c r="A176" s="1">
        <v>199</v>
      </c>
      <c r="B176" t="s">
        <v>289</v>
      </c>
      <c r="C176" t="s">
        <v>322</v>
      </c>
      <c r="D176" t="s">
        <v>291</v>
      </c>
      <c r="E176" t="s">
        <v>323</v>
      </c>
      <c r="F176" t="s">
        <v>292</v>
      </c>
      <c r="G176">
        <v>25</v>
      </c>
      <c r="H176">
        <v>4</v>
      </c>
      <c r="I176">
        <v>43</v>
      </c>
      <c r="J176">
        <v>49</v>
      </c>
      <c r="K176">
        <v>10</v>
      </c>
      <c r="L176">
        <v>17</v>
      </c>
      <c r="M176">
        <v>12</v>
      </c>
      <c r="N176" t="s">
        <v>293</v>
      </c>
      <c r="O176" t="s">
        <v>294</v>
      </c>
      <c r="P176" t="s">
        <v>228</v>
      </c>
      <c r="Q176" t="s">
        <v>295</v>
      </c>
      <c r="R176" t="s">
        <v>296</v>
      </c>
      <c r="S176">
        <v>96</v>
      </c>
      <c r="T176">
        <v>91</v>
      </c>
      <c r="U176">
        <f t="shared" si="9"/>
        <v>-7.5691034911523</v>
      </c>
      <c r="V176">
        <f t="shared" si="10"/>
        <v>-910.404557511703</v>
      </c>
      <c r="W176">
        <f t="shared" si="11"/>
        <v>-7569.1034911523</v>
      </c>
      <c r="X176">
        <f t="shared" si="12"/>
        <v>-3.05504885071041</v>
      </c>
      <c r="Y176">
        <v>25</v>
      </c>
    </row>
    <row r="177" spans="1:25">
      <c r="A177" s="1">
        <v>200</v>
      </c>
      <c r="B177" t="s">
        <v>289</v>
      </c>
      <c r="C177" t="s">
        <v>324</v>
      </c>
      <c r="D177" t="s">
        <v>291</v>
      </c>
      <c r="E177" t="s">
        <v>325</v>
      </c>
      <c r="F177" t="s">
        <v>292</v>
      </c>
      <c r="G177">
        <v>25</v>
      </c>
      <c r="H177">
        <v>4</v>
      </c>
      <c r="I177">
        <v>43</v>
      </c>
      <c r="J177">
        <v>49</v>
      </c>
      <c r="K177">
        <v>10</v>
      </c>
      <c r="L177">
        <v>17</v>
      </c>
      <c r="M177">
        <v>12</v>
      </c>
      <c r="N177" t="s">
        <v>293</v>
      </c>
      <c r="O177" t="s">
        <v>294</v>
      </c>
      <c r="P177" t="s">
        <v>228</v>
      </c>
      <c r="Q177" t="s">
        <v>295</v>
      </c>
      <c r="R177" t="s">
        <v>296</v>
      </c>
      <c r="S177">
        <v>91</v>
      </c>
      <c r="T177">
        <v>95</v>
      </c>
      <c r="U177">
        <f t="shared" si="9"/>
        <v>-9.07673775472472</v>
      </c>
      <c r="V177">
        <f t="shared" si="10"/>
        <v>-1091.74137054663</v>
      </c>
      <c r="W177">
        <f t="shared" si="11"/>
        <v>-9076.73775472472</v>
      </c>
      <c r="X177">
        <f t="shared" si="12"/>
        <v>-3.66356164612965</v>
      </c>
      <c r="Y177">
        <v>25</v>
      </c>
    </row>
    <row r="178" spans="1:25">
      <c r="A178" s="1">
        <v>201</v>
      </c>
      <c r="B178" t="s">
        <v>289</v>
      </c>
      <c r="C178" t="s">
        <v>326</v>
      </c>
      <c r="D178" t="s">
        <v>291</v>
      </c>
      <c r="E178" t="s">
        <v>327</v>
      </c>
      <c r="F178" t="s">
        <v>292</v>
      </c>
      <c r="G178">
        <v>25</v>
      </c>
      <c r="H178">
        <v>4</v>
      </c>
      <c r="I178">
        <v>43</v>
      </c>
      <c r="J178">
        <v>49</v>
      </c>
      <c r="K178">
        <v>10</v>
      </c>
      <c r="L178">
        <v>17</v>
      </c>
      <c r="M178">
        <v>12</v>
      </c>
      <c r="N178" t="s">
        <v>293</v>
      </c>
      <c r="O178" t="s">
        <v>294</v>
      </c>
      <c r="P178" t="s">
        <v>228</v>
      </c>
      <c r="Q178" t="s">
        <v>295</v>
      </c>
      <c r="R178" t="s">
        <v>296</v>
      </c>
      <c r="S178">
        <v>79</v>
      </c>
      <c r="T178">
        <v>93</v>
      </c>
      <c r="U178">
        <f t="shared" si="9"/>
        <v>-8.21756135689019</v>
      </c>
      <c r="V178">
        <f t="shared" si="10"/>
        <v>-988.400451875173</v>
      </c>
      <c r="W178">
        <f t="shared" si="11"/>
        <v>-8217.56135689019</v>
      </c>
      <c r="X178">
        <f t="shared" si="12"/>
        <v>-3.31678003984957</v>
      </c>
      <c r="Y178">
        <v>25</v>
      </c>
    </row>
    <row r="179" spans="1:25">
      <c r="A179" s="1">
        <v>202</v>
      </c>
      <c r="B179" t="s">
        <v>289</v>
      </c>
      <c r="C179" t="s">
        <v>328</v>
      </c>
      <c r="D179" t="s">
        <v>291</v>
      </c>
      <c r="E179" t="s">
        <v>329</v>
      </c>
      <c r="F179" t="s">
        <v>292</v>
      </c>
      <c r="G179">
        <v>25</v>
      </c>
      <c r="H179">
        <v>4</v>
      </c>
      <c r="I179">
        <v>43</v>
      </c>
      <c r="J179">
        <v>49</v>
      </c>
      <c r="K179">
        <v>10</v>
      </c>
      <c r="L179">
        <v>17</v>
      </c>
      <c r="M179">
        <v>12</v>
      </c>
      <c r="N179" t="s">
        <v>293</v>
      </c>
      <c r="O179" t="s">
        <v>294</v>
      </c>
      <c r="P179" t="s">
        <v>228</v>
      </c>
      <c r="Q179" t="s">
        <v>295</v>
      </c>
      <c r="R179" t="s">
        <v>296</v>
      </c>
      <c r="S179">
        <v>79</v>
      </c>
      <c r="T179">
        <v>94</v>
      </c>
      <c r="U179">
        <f t="shared" si="9"/>
        <v>-8.61228478317256</v>
      </c>
      <c r="V179">
        <f t="shared" si="10"/>
        <v>-1035.87740957091</v>
      </c>
      <c r="W179">
        <f t="shared" si="11"/>
        <v>-8612.28478317256</v>
      </c>
      <c r="X179">
        <f t="shared" si="12"/>
        <v>-3.47609868983527</v>
      </c>
      <c r="Y179">
        <v>25</v>
      </c>
    </row>
    <row r="180" spans="1:25">
      <c r="A180" s="1">
        <v>203</v>
      </c>
      <c r="B180" t="s">
        <v>289</v>
      </c>
      <c r="C180" t="s">
        <v>330</v>
      </c>
      <c r="D180" t="s">
        <v>291</v>
      </c>
      <c r="E180" t="s">
        <v>331</v>
      </c>
      <c r="F180" t="s">
        <v>292</v>
      </c>
      <c r="G180">
        <v>25</v>
      </c>
      <c r="H180">
        <v>4</v>
      </c>
      <c r="I180">
        <v>43</v>
      </c>
      <c r="J180">
        <v>49</v>
      </c>
      <c r="K180">
        <v>10</v>
      </c>
      <c r="L180">
        <v>17</v>
      </c>
      <c r="M180">
        <v>12</v>
      </c>
      <c r="N180" t="s">
        <v>293</v>
      </c>
      <c r="O180" t="s">
        <v>294</v>
      </c>
      <c r="P180" t="s">
        <v>228</v>
      </c>
      <c r="Q180" t="s">
        <v>295</v>
      </c>
      <c r="R180" t="s">
        <v>296</v>
      </c>
      <c r="S180">
        <v>81</v>
      </c>
      <c r="T180">
        <v>95</v>
      </c>
      <c r="U180">
        <f t="shared" si="9"/>
        <v>-9.07673775472472</v>
      </c>
      <c r="V180">
        <f t="shared" si="10"/>
        <v>-1091.74137054663</v>
      </c>
      <c r="W180">
        <f t="shared" si="11"/>
        <v>-9076.73775472472</v>
      </c>
      <c r="X180">
        <f t="shared" si="12"/>
        <v>-3.66356164612965</v>
      </c>
      <c r="Y180">
        <v>25</v>
      </c>
    </row>
    <row r="181" spans="1:25">
      <c r="A181" s="1">
        <v>204</v>
      </c>
      <c r="B181" t="s">
        <v>289</v>
      </c>
      <c r="C181" t="s">
        <v>332</v>
      </c>
      <c r="D181" t="s">
        <v>291</v>
      </c>
      <c r="E181" t="s">
        <v>333</v>
      </c>
      <c r="F181" t="s">
        <v>292</v>
      </c>
      <c r="G181">
        <v>25</v>
      </c>
      <c r="H181">
        <v>4</v>
      </c>
      <c r="I181">
        <v>43</v>
      </c>
      <c r="J181">
        <v>49</v>
      </c>
      <c r="K181">
        <v>10</v>
      </c>
      <c r="L181">
        <v>17</v>
      </c>
      <c r="M181">
        <v>12</v>
      </c>
      <c r="N181" t="s">
        <v>293</v>
      </c>
      <c r="O181" t="s">
        <v>294</v>
      </c>
      <c r="P181" t="s">
        <v>228</v>
      </c>
      <c r="Q181" t="s">
        <v>295</v>
      </c>
      <c r="R181" t="s">
        <v>296</v>
      </c>
      <c r="S181">
        <v>59</v>
      </c>
      <c r="T181">
        <v>92</v>
      </c>
      <c r="U181">
        <f t="shared" si="9"/>
        <v>-7.87385718456282</v>
      </c>
      <c r="V181">
        <f t="shared" si="10"/>
        <v>-947.060041443688</v>
      </c>
      <c r="W181">
        <f t="shared" si="11"/>
        <v>-7873.85718456282</v>
      </c>
      <c r="X181">
        <f t="shared" si="12"/>
        <v>-3.17805383034795</v>
      </c>
      <c r="Y181">
        <v>25</v>
      </c>
    </row>
    <row r="182" spans="1:25">
      <c r="A182" s="1">
        <v>205</v>
      </c>
      <c r="B182" t="s">
        <v>289</v>
      </c>
      <c r="C182" t="s">
        <v>334</v>
      </c>
      <c r="D182" t="s">
        <v>291</v>
      </c>
      <c r="E182" t="s">
        <v>335</v>
      </c>
      <c r="F182" t="s">
        <v>292</v>
      </c>
      <c r="G182">
        <v>25</v>
      </c>
      <c r="H182">
        <v>4</v>
      </c>
      <c r="I182">
        <v>43</v>
      </c>
      <c r="J182">
        <v>49</v>
      </c>
      <c r="K182">
        <v>10</v>
      </c>
      <c r="L182">
        <v>17</v>
      </c>
      <c r="M182">
        <v>12</v>
      </c>
      <c r="N182" t="s">
        <v>293</v>
      </c>
      <c r="O182" t="s">
        <v>294</v>
      </c>
      <c r="P182" t="s">
        <v>228</v>
      </c>
      <c r="Q182" t="s">
        <v>295</v>
      </c>
      <c r="R182" t="s">
        <v>296</v>
      </c>
      <c r="S182">
        <v>87</v>
      </c>
      <c r="T182">
        <v>92</v>
      </c>
      <c r="U182">
        <f t="shared" si="9"/>
        <v>-7.87385718456282</v>
      </c>
      <c r="V182">
        <f t="shared" si="10"/>
        <v>-947.060041443688</v>
      </c>
      <c r="W182">
        <f t="shared" si="11"/>
        <v>-7873.85718456282</v>
      </c>
      <c r="X182">
        <f t="shared" si="12"/>
        <v>-3.17805383034795</v>
      </c>
      <c r="Y182">
        <v>25</v>
      </c>
    </row>
    <row r="183" spans="1:25">
      <c r="A183" s="1">
        <v>206</v>
      </c>
      <c r="B183" t="s">
        <v>289</v>
      </c>
      <c r="C183" t="s">
        <v>336</v>
      </c>
      <c r="D183" t="s">
        <v>291</v>
      </c>
      <c r="E183" t="s">
        <v>71</v>
      </c>
      <c r="F183" t="s">
        <v>292</v>
      </c>
      <c r="G183">
        <v>25</v>
      </c>
      <c r="H183">
        <v>4</v>
      </c>
      <c r="I183">
        <v>43</v>
      </c>
      <c r="J183">
        <v>49</v>
      </c>
      <c r="K183">
        <v>10</v>
      </c>
      <c r="L183">
        <v>17</v>
      </c>
      <c r="M183">
        <v>12</v>
      </c>
      <c r="N183" t="s">
        <v>293</v>
      </c>
      <c r="O183" t="s">
        <v>294</v>
      </c>
      <c r="P183" t="s">
        <v>228</v>
      </c>
      <c r="Q183" t="s">
        <v>295</v>
      </c>
      <c r="R183" t="s">
        <v>296</v>
      </c>
      <c r="S183">
        <v>79</v>
      </c>
      <c r="T183">
        <v>95</v>
      </c>
      <c r="U183">
        <f t="shared" si="9"/>
        <v>-9.07673775472472</v>
      </c>
      <c r="V183">
        <f t="shared" si="10"/>
        <v>-1091.74137054663</v>
      </c>
      <c r="W183">
        <f t="shared" si="11"/>
        <v>-9076.73775472472</v>
      </c>
      <c r="X183">
        <f t="shared" si="12"/>
        <v>-3.66356164612965</v>
      </c>
      <c r="Y183">
        <v>25</v>
      </c>
    </row>
    <row r="184" spans="1:25">
      <c r="A184" s="1">
        <v>207</v>
      </c>
      <c r="B184" t="s">
        <v>289</v>
      </c>
      <c r="C184" t="s">
        <v>337</v>
      </c>
      <c r="D184" t="s">
        <v>291</v>
      </c>
      <c r="E184" t="s">
        <v>338</v>
      </c>
      <c r="F184" t="s">
        <v>292</v>
      </c>
      <c r="G184">
        <v>25</v>
      </c>
      <c r="H184">
        <v>4</v>
      </c>
      <c r="I184">
        <v>43</v>
      </c>
      <c r="J184">
        <v>49</v>
      </c>
      <c r="K184">
        <v>10</v>
      </c>
      <c r="L184">
        <v>17</v>
      </c>
      <c r="M184">
        <v>12</v>
      </c>
      <c r="N184" t="s">
        <v>293</v>
      </c>
      <c r="O184" t="s">
        <v>294</v>
      </c>
      <c r="P184" t="s">
        <v>228</v>
      </c>
      <c r="Q184" t="s">
        <v>295</v>
      </c>
      <c r="R184" t="s">
        <v>296</v>
      </c>
      <c r="S184">
        <v>72</v>
      </c>
      <c r="T184">
        <v>92</v>
      </c>
      <c r="U184">
        <f t="shared" si="9"/>
        <v>-7.87385718456282</v>
      </c>
      <c r="V184">
        <f t="shared" si="10"/>
        <v>-947.060041443688</v>
      </c>
      <c r="W184">
        <f t="shared" si="11"/>
        <v>-7873.85718456282</v>
      </c>
      <c r="X184">
        <f t="shared" si="12"/>
        <v>-3.17805383034795</v>
      </c>
      <c r="Y184">
        <v>25</v>
      </c>
    </row>
    <row r="185" spans="1:25">
      <c r="A185" s="1">
        <v>208</v>
      </c>
      <c r="B185" t="s">
        <v>289</v>
      </c>
      <c r="C185" t="s">
        <v>339</v>
      </c>
      <c r="D185" t="s">
        <v>291</v>
      </c>
      <c r="E185" t="s">
        <v>340</v>
      </c>
      <c r="F185" t="s">
        <v>292</v>
      </c>
      <c r="G185">
        <v>25</v>
      </c>
      <c r="H185">
        <v>4</v>
      </c>
      <c r="I185">
        <v>43</v>
      </c>
      <c r="J185">
        <v>49</v>
      </c>
      <c r="K185">
        <v>10</v>
      </c>
      <c r="L185">
        <v>17</v>
      </c>
      <c r="M185">
        <v>12</v>
      </c>
      <c r="N185" t="s">
        <v>293</v>
      </c>
      <c r="O185" t="s">
        <v>294</v>
      </c>
      <c r="P185" t="s">
        <v>228</v>
      </c>
      <c r="Q185" t="s">
        <v>295</v>
      </c>
      <c r="R185" t="s">
        <v>296</v>
      </c>
      <c r="S185">
        <v>77</v>
      </c>
      <c r="T185">
        <v>93</v>
      </c>
      <c r="U185">
        <f t="shared" si="9"/>
        <v>-8.21756135689019</v>
      </c>
      <c r="V185">
        <f t="shared" si="10"/>
        <v>-988.400451875173</v>
      </c>
      <c r="W185">
        <f t="shared" si="11"/>
        <v>-8217.56135689019</v>
      </c>
      <c r="X185">
        <f t="shared" si="12"/>
        <v>-3.31678003984957</v>
      </c>
      <c r="Y185">
        <v>25</v>
      </c>
    </row>
    <row r="186" spans="1:25">
      <c r="A186" s="1">
        <v>209</v>
      </c>
      <c r="B186" t="s">
        <v>289</v>
      </c>
      <c r="C186" t="s">
        <v>341</v>
      </c>
      <c r="D186" t="s">
        <v>291</v>
      </c>
      <c r="E186" t="s">
        <v>342</v>
      </c>
      <c r="F186" t="s">
        <v>292</v>
      </c>
      <c r="G186">
        <v>25</v>
      </c>
      <c r="H186">
        <v>4</v>
      </c>
      <c r="I186">
        <v>43</v>
      </c>
      <c r="J186">
        <v>49</v>
      </c>
      <c r="K186">
        <v>10</v>
      </c>
      <c r="L186">
        <v>17</v>
      </c>
      <c r="M186">
        <v>12</v>
      </c>
      <c r="N186" t="s">
        <v>293</v>
      </c>
      <c r="O186" t="s">
        <v>294</v>
      </c>
      <c r="P186" t="s">
        <v>228</v>
      </c>
      <c r="Q186" t="s">
        <v>295</v>
      </c>
      <c r="R186" t="s">
        <v>296</v>
      </c>
      <c r="S186">
        <v>79</v>
      </c>
      <c r="T186">
        <v>93</v>
      </c>
      <c r="U186">
        <f t="shared" si="9"/>
        <v>-8.21756135689019</v>
      </c>
      <c r="V186">
        <f t="shared" si="10"/>
        <v>-988.400451875173</v>
      </c>
      <c r="W186">
        <f t="shared" si="11"/>
        <v>-8217.56135689019</v>
      </c>
      <c r="X186">
        <f t="shared" si="12"/>
        <v>-3.31678003984957</v>
      </c>
      <c r="Y186">
        <v>25</v>
      </c>
    </row>
    <row r="187" spans="1:25">
      <c r="A187" s="1">
        <v>210</v>
      </c>
      <c r="B187" t="s">
        <v>289</v>
      </c>
      <c r="C187" t="s">
        <v>343</v>
      </c>
      <c r="D187" t="s">
        <v>291</v>
      </c>
      <c r="E187" t="s">
        <v>344</v>
      </c>
      <c r="F187" t="s">
        <v>292</v>
      </c>
      <c r="G187">
        <v>25</v>
      </c>
      <c r="H187">
        <v>4</v>
      </c>
      <c r="I187">
        <v>43</v>
      </c>
      <c r="J187">
        <v>49</v>
      </c>
      <c r="K187">
        <v>10</v>
      </c>
      <c r="L187">
        <v>17</v>
      </c>
      <c r="M187">
        <v>12</v>
      </c>
      <c r="N187" t="s">
        <v>293</v>
      </c>
      <c r="O187" t="s">
        <v>294</v>
      </c>
      <c r="P187" t="s">
        <v>228</v>
      </c>
      <c r="Q187" t="s">
        <v>295</v>
      </c>
      <c r="R187" t="s">
        <v>296</v>
      </c>
      <c r="S187">
        <v>76</v>
      </c>
      <c r="T187">
        <v>95</v>
      </c>
      <c r="U187">
        <f t="shared" si="9"/>
        <v>-9.07673775472472</v>
      </c>
      <c r="V187">
        <f t="shared" si="10"/>
        <v>-1091.74137054663</v>
      </c>
      <c r="W187">
        <f t="shared" si="11"/>
        <v>-9076.73775472472</v>
      </c>
      <c r="X187">
        <f t="shared" si="12"/>
        <v>-3.66356164612965</v>
      </c>
      <c r="Y187">
        <v>25</v>
      </c>
    </row>
    <row r="188" spans="1:25">
      <c r="A188" s="1">
        <v>211</v>
      </c>
      <c r="B188" t="s">
        <v>289</v>
      </c>
      <c r="C188" t="s">
        <v>345</v>
      </c>
      <c r="D188" t="s">
        <v>291</v>
      </c>
      <c r="E188" t="s">
        <v>346</v>
      </c>
      <c r="F188" t="s">
        <v>292</v>
      </c>
      <c r="G188">
        <v>25</v>
      </c>
      <c r="H188">
        <v>4</v>
      </c>
      <c r="I188">
        <v>43</v>
      </c>
      <c r="J188">
        <v>49</v>
      </c>
      <c r="K188">
        <v>10</v>
      </c>
      <c r="L188">
        <v>17</v>
      </c>
      <c r="M188">
        <v>12</v>
      </c>
      <c r="N188" t="s">
        <v>293</v>
      </c>
      <c r="O188" t="s">
        <v>294</v>
      </c>
      <c r="P188" t="s">
        <v>228</v>
      </c>
      <c r="Q188" t="s">
        <v>295</v>
      </c>
      <c r="R188" t="s">
        <v>296</v>
      </c>
      <c r="S188">
        <v>68</v>
      </c>
      <c r="T188">
        <v>92</v>
      </c>
      <c r="U188">
        <f t="shared" si="9"/>
        <v>-7.87385718456282</v>
      </c>
      <c r="V188">
        <f t="shared" si="10"/>
        <v>-947.060041443688</v>
      </c>
      <c r="W188">
        <f t="shared" si="11"/>
        <v>-7873.85718456282</v>
      </c>
      <c r="X188">
        <f t="shared" si="12"/>
        <v>-3.17805383034795</v>
      </c>
      <c r="Y188">
        <v>25</v>
      </c>
    </row>
    <row r="189" spans="1:25">
      <c r="A189" s="1">
        <v>212</v>
      </c>
      <c r="B189" t="s">
        <v>289</v>
      </c>
      <c r="C189" t="s">
        <v>347</v>
      </c>
      <c r="D189" t="s">
        <v>291</v>
      </c>
      <c r="E189" t="s">
        <v>348</v>
      </c>
      <c r="F189" t="s">
        <v>292</v>
      </c>
      <c r="G189">
        <v>25</v>
      </c>
      <c r="H189">
        <v>4</v>
      </c>
      <c r="I189">
        <v>43</v>
      </c>
      <c r="J189">
        <v>49</v>
      </c>
      <c r="K189">
        <v>10</v>
      </c>
      <c r="L189">
        <v>17</v>
      </c>
      <c r="M189">
        <v>12</v>
      </c>
      <c r="N189" t="s">
        <v>293</v>
      </c>
      <c r="O189" t="s">
        <v>294</v>
      </c>
      <c r="P189" t="s">
        <v>228</v>
      </c>
      <c r="Q189" t="s">
        <v>295</v>
      </c>
      <c r="R189" t="s">
        <v>296</v>
      </c>
      <c r="S189">
        <v>84</v>
      </c>
      <c r="T189">
        <v>94</v>
      </c>
      <c r="U189">
        <f t="shared" si="9"/>
        <v>-8.61228478317256</v>
      </c>
      <c r="V189">
        <f t="shared" si="10"/>
        <v>-1035.87740957091</v>
      </c>
      <c r="W189">
        <f t="shared" si="11"/>
        <v>-8612.28478317256</v>
      </c>
      <c r="X189">
        <f t="shared" si="12"/>
        <v>-3.47609868983527</v>
      </c>
      <c r="Y189">
        <v>25</v>
      </c>
    </row>
    <row r="190" spans="1:25">
      <c r="A190" s="1">
        <v>213</v>
      </c>
      <c r="B190" t="s">
        <v>289</v>
      </c>
      <c r="C190" t="s">
        <v>349</v>
      </c>
      <c r="D190" t="s">
        <v>291</v>
      </c>
      <c r="E190" t="s">
        <v>350</v>
      </c>
      <c r="F190" t="s">
        <v>292</v>
      </c>
      <c r="G190">
        <v>25</v>
      </c>
      <c r="H190">
        <v>4</v>
      </c>
      <c r="I190">
        <v>43</v>
      </c>
      <c r="J190">
        <v>49</v>
      </c>
      <c r="K190">
        <v>10</v>
      </c>
      <c r="L190">
        <v>17</v>
      </c>
      <c r="M190">
        <v>12</v>
      </c>
      <c r="N190" t="s">
        <v>293</v>
      </c>
      <c r="O190" t="s">
        <v>294</v>
      </c>
      <c r="P190" t="s">
        <v>228</v>
      </c>
      <c r="Q190" t="s">
        <v>295</v>
      </c>
      <c r="R190" t="s">
        <v>296</v>
      </c>
      <c r="S190">
        <v>68</v>
      </c>
      <c r="T190">
        <v>96</v>
      </c>
      <c r="U190">
        <f t="shared" si="9"/>
        <v>-9.64226499963054</v>
      </c>
      <c r="V190">
        <f t="shared" si="10"/>
        <v>-1159.76244883697</v>
      </c>
      <c r="W190">
        <f t="shared" si="11"/>
        <v>-9642.26499963054</v>
      </c>
      <c r="X190">
        <f t="shared" si="12"/>
        <v>-3.89182029811063</v>
      </c>
      <c r="Y190">
        <v>25</v>
      </c>
    </row>
    <row r="191" spans="1:25">
      <c r="A191" s="1">
        <v>214</v>
      </c>
      <c r="B191" t="s">
        <v>289</v>
      </c>
      <c r="C191" t="s">
        <v>351</v>
      </c>
      <c r="D191" t="s">
        <v>291</v>
      </c>
      <c r="E191" t="s">
        <v>352</v>
      </c>
      <c r="F191" t="s">
        <v>292</v>
      </c>
      <c r="G191">
        <v>25</v>
      </c>
      <c r="H191">
        <v>4</v>
      </c>
      <c r="I191">
        <v>43</v>
      </c>
      <c r="J191">
        <v>49</v>
      </c>
      <c r="K191">
        <v>10</v>
      </c>
      <c r="L191">
        <v>17</v>
      </c>
      <c r="M191">
        <v>12</v>
      </c>
      <c r="N191" t="s">
        <v>293</v>
      </c>
      <c r="O191" t="s">
        <v>294</v>
      </c>
      <c r="P191" t="s">
        <v>228</v>
      </c>
      <c r="Q191" t="s">
        <v>295</v>
      </c>
      <c r="R191" t="s">
        <v>296</v>
      </c>
      <c r="S191">
        <v>79</v>
      </c>
      <c r="T191">
        <v>95</v>
      </c>
      <c r="U191">
        <f t="shared" si="9"/>
        <v>-9.07673775472472</v>
      </c>
      <c r="V191">
        <f t="shared" si="10"/>
        <v>-1091.74137054663</v>
      </c>
      <c r="W191">
        <f t="shared" si="11"/>
        <v>-9076.73775472472</v>
      </c>
      <c r="X191">
        <f t="shared" si="12"/>
        <v>-3.66356164612965</v>
      </c>
      <c r="Y191">
        <v>25</v>
      </c>
    </row>
    <row r="192" spans="1:25">
      <c r="A192" s="1">
        <v>215</v>
      </c>
      <c r="B192" t="s">
        <v>289</v>
      </c>
      <c r="C192" t="s">
        <v>353</v>
      </c>
      <c r="D192" t="s">
        <v>354</v>
      </c>
      <c r="E192" t="s">
        <v>59</v>
      </c>
      <c r="F192" t="s">
        <v>292</v>
      </c>
      <c r="G192">
        <v>25</v>
      </c>
      <c r="H192">
        <v>4</v>
      </c>
      <c r="I192">
        <v>43</v>
      </c>
      <c r="J192">
        <v>49</v>
      </c>
      <c r="K192">
        <v>10</v>
      </c>
      <c r="L192">
        <v>17</v>
      </c>
      <c r="M192">
        <v>12</v>
      </c>
      <c r="N192" t="s">
        <v>293</v>
      </c>
      <c r="O192" t="s">
        <v>294</v>
      </c>
      <c r="P192" t="s">
        <v>228</v>
      </c>
      <c r="Q192" t="s">
        <v>295</v>
      </c>
      <c r="R192" t="s">
        <v>296</v>
      </c>
      <c r="S192">
        <v>63</v>
      </c>
      <c r="T192">
        <v>90</v>
      </c>
      <c r="U192">
        <f t="shared" si="9"/>
        <v>-7.29505957049136</v>
      </c>
      <c r="V192">
        <f t="shared" si="10"/>
        <v>-877.442815791599</v>
      </c>
      <c r="W192">
        <f t="shared" si="11"/>
        <v>-7295.05957049136</v>
      </c>
      <c r="X192">
        <f t="shared" si="12"/>
        <v>-2.94443897916644</v>
      </c>
      <c r="Y192">
        <v>25</v>
      </c>
    </row>
    <row r="193" spans="1:25">
      <c r="A193" s="1">
        <v>216</v>
      </c>
      <c r="B193" t="s">
        <v>289</v>
      </c>
      <c r="C193" t="s">
        <v>355</v>
      </c>
      <c r="D193" t="s">
        <v>356</v>
      </c>
      <c r="E193" t="s">
        <v>59</v>
      </c>
      <c r="F193" t="s">
        <v>292</v>
      </c>
      <c r="G193">
        <v>25</v>
      </c>
      <c r="H193">
        <v>4</v>
      </c>
      <c r="I193">
        <v>43</v>
      </c>
      <c r="J193">
        <v>49</v>
      </c>
      <c r="K193">
        <v>10</v>
      </c>
      <c r="L193">
        <v>17</v>
      </c>
      <c r="M193">
        <v>12</v>
      </c>
      <c r="N193" t="s">
        <v>293</v>
      </c>
      <c r="O193" t="s">
        <v>294</v>
      </c>
      <c r="P193" t="s">
        <v>228</v>
      </c>
      <c r="Q193" t="s">
        <v>295</v>
      </c>
      <c r="R193" t="s">
        <v>296</v>
      </c>
      <c r="S193">
        <v>85</v>
      </c>
      <c r="T193">
        <v>91</v>
      </c>
      <c r="U193">
        <f t="shared" si="9"/>
        <v>-7.5691034911523</v>
      </c>
      <c r="V193">
        <f t="shared" si="10"/>
        <v>-910.404557511703</v>
      </c>
      <c r="W193">
        <f t="shared" si="11"/>
        <v>-7569.1034911523</v>
      </c>
      <c r="X193">
        <f t="shared" si="12"/>
        <v>-3.05504885071041</v>
      </c>
      <c r="Y193">
        <v>25</v>
      </c>
    </row>
    <row r="194" spans="1:25">
      <c r="A194" s="1">
        <v>217</v>
      </c>
      <c r="B194" t="s">
        <v>289</v>
      </c>
      <c r="C194" t="s">
        <v>357</v>
      </c>
      <c r="D194" t="s">
        <v>358</v>
      </c>
      <c r="E194" t="s">
        <v>59</v>
      </c>
      <c r="F194" t="s">
        <v>292</v>
      </c>
      <c r="G194">
        <v>25</v>
      </c>
      <c r="H194">
        <v>4</v>
      </c>
      <c r="I194">
        <v>43</v>
      </c>
      <c r="J194">
        <v>49</v>
      </c>
      <c r="K194">
        <v>10</v>
      </c>
      <c r="L194">
        <v>17</v>
      </c>
      <c r="M194">
        <v>12</v>
      </c>
      <c r="N194" t="s">
        <v>293</v>
      </c>
      <c r="O194" t="s">
        <v>294</v>
      </c>
      <c r="P194" t="s">
        <v>228</v>
      </c>
      <c r="Q194" t="s">
        <v>295</v>
      </c>
      <c r="R194" t="s">
        <v>296</v>
      </c>
      <c r="S194">
        <v>78</v>
      </c>
      <c r="T194">
        <v>96</v>
      </c>
      <c r="U194">
        <f t="shared" ref="U194:U257" si="13">LN((1+T194*0.01)/(1-T194*0.01))*-(G194+273)*8.314/1000</f>
        <v>-9.64226499963054</v>
      </c>
      <c r="V194">
        <f t="shared" ref="V194:V257" si="14">LN((1+T194*0.01)/(1-T194*0.01))*-(G194+273)</f>
        <v>-1159.76244883697</v>
      </c>
      <c r="W194">
        <f t="shared" ref="W194:W257" si="15">LN((1+T194*0.01)/(1-T194*0.01))*-(G194+273)*8.314</f>
        <v>-9642.26499963054</v>
      </c>
      <c r="X194">
        <f t="shared" si="12"/>
        <v>-3.89182029811063</v>
      </c>
      <c r="Y194">
        <v>25</v>
      </c>
    </row>
    <row r="195" spans="1:25">
      <c r="A195" s="1">
        <v>218</v>
      </c>
      <c r="B195" t="s">
        <v>289</v>
      </c>
      <c r="C195" t="s">
        <v>359</v>
      </c>
      <c r="D195" t="s">
        <v>360</v>
      </c>
      <c r="E195" t="s">
        <v>59</v>
      </c>
      <c r="F195" t="s">
        <v>292</v>
      </c>
      <c r="G195">
        <v>25</v>
      </c>
      <c r="H195">
        <v>4</v>
      </c>
      <c r="I195">
        <v>43</v>
      </c>
      <c r="J195">
        <v>49</v>
      </c>
      <c r="K195">
        <v>10</v>
      </c>
      <c r="L195">
        <v>17</v>
      </c>
      <c r="M195">
        <v>12</v>
      </c>
      <c r="N195" t="s">
        <v>293</v>
      </c>
      <c r="O195" t="s">
        <v>294</v>
      </c>
      <c r="P195" t="s">
        <v>228</v>
      </c>
      <c r="Q195" t="s">
        <v>295</v>
      </c>
      <c r="R195" t="s">
        <v>296</v>
      </c>
      <c r="S195">
        <v>82</v>
      </c>
      <c r="T195">
        <v>95</v>
      </c>
      <c r="U195">
        <f t="shared" si="13"/>
        <v>-9.07673775472472</v>
      </c>
      <c r="V195">
        <f t="shared" si="14"/>
        <v>-1091.74137054663</v>
      </c>
      <c r="W195">
        <f t="shared" si="15"/>
        <v>-9076.73775472472</v>
      </c>
      <c r="X195">
        <f t="shared" si="12"/>
        <v>-3.66356164612965</v>
      </c>
      <c r="Y195">
        <v>25</v>
      </c>
    </row>
    <row r="196" spans="1:25">
      <c r="A196" s="1">
        <v>219</v>
      </c>
      <c r="B196" t="s">
        <v>289</v>
      </c>
      <c r="C196" t="s">
        <v>361</v>
      </c>
      <c r="D196" t="s">
        <v>362</v>
      </c>
      <c r="E196" t="s">
        <v>59</v>
      </c>
      <c r="F196" t="s">
        <v>292</v>
      </c>
      <c r="G196">
        <v>25</v>
      </c>
      <c r="H196">
        <v>4</v>
      </c>
      <c r="I196">
        <v>43</v>
      </c>
      <c r="J196">
        <v>49</v>
      </c>
      <c r="K196">
        <v>10</v>
      </c>
      <c r="L196">
        <v>17</v>
      </c>
      <c r="M196">
        <v>12</v>
      </c>
      <c r="N196" t="s">
        <v>293</v>
      </c>
      <c r="O196" t="s">
        <v>294</v>
      </c>
      <c r="P196" t="s">
        <v>228</v>
      </c>
      <c r="Q196" t="s">
        <v>295</v>
      </c>
      <c r="R196" t="s">
        <v>296</v>
      </c>
      <c r="S196">
        <v>32</v>
      </c>
      <c r="T196">
        <v>95</v>
      </c>
      <c r="U196">
        <f t="shared" si="13"/>
        <v>-9.07673775472472</v>
      </c>
      <c r="V196">
        <f t="shared" si="14"/>
        <v>-1091.74137054663</v>
      </c>
      <c r="W196">
        <f t="shared" si="15"/>
        <v>-9076.73775472472</v>
      </c>
      <c r="X196">
        <f t="shared" si="12"/>
        <v>-3.66356164612965</v>
      </c>
      <c r="Y196">
        <v>25</v>
      </c>
    </row>
    <row r="197" spans="1:25">
      <c r="A197" s="1">
        <v>220</v>
      </c>
      <c r="B197" t="s">
        <v>289</v>
      </c>
      <c r="C197" t="s">
        <v>363</v>
      </c>
      <c r="D197" t="s">
        <v>364</v>
      </c>
      <c r="E197" t="s">
        <v>59</v>
      </c>
      <c r="F197" t="s">
        <v>292</v>
      </c>
      <c r="G197">
        <v>25</v>
      </c>
      <c r="H197">
        <v>4</v>
      </c>
      <c r="I197">
        <v>43</v>
      </c>
      <c r="J197">
        <v>49</v>
      </c>
      <c r="K197">
        <v>10</v>
      </c>
      <c r="L197">
        <v>17</v>
      </c>
      <c r="M197">
        <v>12</v>
      </c>
      <c r="N197" t="s">
        <v>293</v>
      </c>
      <c r="O197" t="s">
        <v>294</v>
      </c>
      <c r="P197" t="s">
        <v>228</v>
      </c>
      <c r="Q197" t="s">
        <v>295</v>
      </c>
      <c r="R197" t="s">
        <v>296</v>
      </c>
      <c r="S197">
        <v>66</v>
      </c>
      <c r="T197">
        <v>94</v>
      </c>
      <c r="U197">
        <f t="shared" si="13"/>
        <v>-8.61228478317256</v>
      </c>
      <c r="V197">
        <f t="shared" si="14"/>
        <v>-1035.87740957091</v>
      </c>
      <c r="W197">
        <f t="shared" si="15"/>
        <v>-8612.28478317256</v>
      </c>
      <c r="X197">
        <f t="shared" si="12"/>
        <v>-3.47609868983527</v>
      </c>
      <c r="Y197">
        <v>25</v>
      </c>
    </row>
    <row r="198" spans="1:25">
      <c r="A198" s="1">
        <v>221</v>
      </c>
      <c r="B198" t="s">
        <v>289</v>
      </c>
      <c r="C198" t="s">
        <v>365</v>
      </c>
      <c r="D198" t="s">
        <v>366</v>
      </c>
      <c r="E198" t="s">
        <v>59</v>
      </c>
      <c r="F198" t="s">
        <v>292</v>
      </c>
      <c r="G198">
        <v>25</v>
      </c>
      <c r="H198">
        <v>4</v>
      </c>
      <c r="I198">
        <v>43</v>
      </c>
      <c r="J198">
        <v>49</v>
      </c>
      <c r="K198">
        <v>10</v>
      </c>
      <c r="L198">
        <v>17</v>
      </c>
      <c r="M198">
        <v>12</v>
      </c>
      <c r="N198" t="s">
        <v>293</v>
      </c>
      <c r="O198" t="s">
        <v>294</v>
      </c>
      <c r="P198" t="s">
        <v>228</v>
      </c>
      <c r="Q198" t="s">
        <v>295</v>
      </c>
      <c r="R198" t="s">
        <v>296</v>
      </c>
      <c r="S198">
        <v>69</v>
      </c>
      <c r="T198">
        <v>88</v>
      </c>
      <c r="U198">
        <f t="shared" si="13"/>
        <v>-6.81712684860397</v>
      </c>
      <c r="V198">
        <f t="shared" si="14"/>
        <v>-819.957523286501</v>
      </c>
      <c r="W198">
        <f t="shared" si="15"/>
        <v>-6817.12684860397</v>
      </c>
      <c r="X198">
        <f t="shared" si="12"/>
        <v>-2.75153531304195</v>
      </c>
      <c r="Y198">
        <v>25</v>
      </c>
    </row>
    <row r="199" spans="1:25">
      <c r="A199" s="1">
        <v>222</v>
      </c>
      <c r="B199" t="s">
        <v>289</v>
      </c>
      <c r="C199" t="s">
        <v>367</v>
      </c>
      <c r="D199" t="s">
        <v>368</v>
      </c>
      <c r="E199" t="s">
        <v>59</v>
      </c>
      <c r="F199" t="s">
        <v>292</v>
      </c>
      <c r="G199">
        <v>25</v>
      </c>
      <c r="H199">
        <v>4</v>
      </c>
      <c r="I199">
        <v>43</v>
      </c>
      <c r="J199">
        <v>49</v>
      </c>
      <c r="K199">
        <v>10</v>
      </c>
      <c r="L199">
        <v>17</v>
      </c>
      <c r="M199">
        <v>12</v>
      </c>
      <c r="N199" t="s">
        <v>293</v>
      </c>
      <c r="O199" t="s">
        <v>294</v>
      </c>
      <c r="P199" t="s">
        <v>228</v>
      </c>
      <c r="Q199" t="s">
        <v>295</v>
      </c>
      <c r="R199" t="s">
        <v>296</v>
      </c>
      <c r="S199">
        <v>57</v>
      </c>
      <c r="T199">
        <v>99</v>
      </c>
      <c r="U199">
        <f t="shared" si="13"/>
        <v>-13.1145438212023</v>
      </c>
      <c r="V199">
        <f t="shared" si="14"/>
        <v>-1577.4048377679</v>
      </c>
      <c r="W199">
        <f t="shared" si="15"/>
        <v>-13114.5438212023</v>
      </c>
      <c r="X199">
        <f t="shared" si="12"/>
        <v>-5.29330482472449</v>
      </c>
      <c r="Y199">
        <v>25</v>
      </c>
    </row>
    <row r="200" spans="1:25">
      <c r="A200" s="1">
        <v>223</v>
      </c>
      <c r="B200" t="s">
        <v>289</v>
      </c>
      <c r="C200" t="s">
        <v>369</v>
      </c>
      <c r="D200" t="s">
        <v>370</v>
      </c>
      <c r="E200" t="s">
        <v>59</v>
      </c>
      <c r="F200" t="s">
        <v>292</v>
      </c>
      <c r="G200">
        <v>25</v>
      </c>
      <c r="H200">
        <v>4</v>
      </c>
      <c r="I200">
        <v>43</v>
      </c>
      <c r="J200">
        <v>49</v>
      </c>
      <c r="K200">
        <v>10</v>
      </c>
      <c r="L200">
        <v>17</v>
      </c>
      <c r="M200">
        <v>12</v>
      </c>
      <c r="N200" t="s">
        <v>293</v>
      </c>
      <c r="O200" t="s">
        <v>294</v>
      </c>
      <c r="P200" t="s">
        <v>228</v>
      </c>
      <c r="Q200" t="s">
        <v>295</v>
      </c>
      <c r="R200" t="s">
        <v>296</v>
      </c>
      <c r="S200">
        <v>83</v>
      </c>
      <c r="T200">
        <v>92</v>
      </c>
      <c r="U200">
        <f t="shared" si="13"/>
        <v>-7.87385718456282</v>
      </c>
      <c r="V200">
        <f t="shared" si="14"/>
        <v>-947.060041443688</v>
      </c>
      <c r="W200">
        <f t="shared" si="15"/>
        <v>-7873.85718456282</v>
      </c>
      <c r="X200">
        <f t="shared" si="12"/>
        <v>-3.17805383034795</v>
      </c>
      <c r="Y200">
        <v>25</v>
      </c>
    </row>
    <row r="201" spans="1:25">
      <c r="A201" s="1">
        <v>224</v>
      </c>
      <c r="B201" t="s">
        <v>289</v>
      </c>
      <c r="C201" t="s">
        <v>371</v>
      </c>
      <c r="D201" t="s">
        <v>372</v>
      </c>
      <c r="E201" t="s">
        <v>59</v>
      </c>
      <c r="F201" t="s">
        <v>292</v>
      </c>
      <c r="G201">
        <v>25</v>
      </c>
      <c r="H201">
        <v>4</v>
      </c>
      <c r="I201">
        <v>43</v>
      </c>
      <c r="J201">
        <v>49</v>
      </c>
      <c r="K201">
        <v>10</v>
      </c>
      <c r="L201">
        <v>17</v>
      </c>
      <c r="M201">
        <v>12</v>
      </c>
      <c r="N201" t="s">
        <v>293</v>
      </c>
      <c r="O201" t="s">
        <v>294</v>
      </c>
      <c r="P201" t="s">
        <v>228</v>
      </c>
      <c r="Q201" t="s">
        <v>295</v>
      </c>
      <c r="R201" t="s">
        <v>296</v>
      </c>
      <c r="S201">
        <v>56</v>
      </c>
      <c r="T201">
        <v>89</v>
      </c>
      <c r="U201">
        <f t="shared" si="13"/>
        <v>-7.04584744877774</v>
      </c>
      <c r="V201">
        <f t="shared" si="14"/>
        <v>-847.467819193859</v>
      </c>
      <c r="W201">
        <f t="shared" si="15"/>
        <v>-7045.84744877774</v>
      </c>
      <c r="X201">
        <f t="shared" si="12"/>
        <v>-2.84385174226127</v>
      </c>
      <c r="Y201">
        <v>25</v>
      </c>
    </row>
    <row r="202" spans="1:25">
      <c r="A202" s="1">
        <v>225</v>
      </c>
      <c r="B202" t="s">
        <v>289</v>
      </c>
      <c r="C202" t="s">
        <v>373</v>
      </c>
      <c r="D202" t="s">
        <v>374</v>
      </c>
      <c r="E202" t="s">
        <v>59</v>
      </c>
      <c r="F202" t="s">
        <v>292</v>
      </c>
      <c r="G202">
        <v>25</v>
      </c>
      <c r="H202">
        <v>4</v>
      </c>
      <c r="I202">
        <v>43</v>
      </c>
      <c r="J202">
        <v>49</v>
      </c>
      <c r="K202">
        <v>10</v>
      </c>
      <c r="L202">
        <v>17</v>
      </c>
      <c r="M202">
        <v>12</v>
      </c>
      <c r="N202" t="s">
        <v>293</v>
      </c>
      <c r="O202" t="s">
        <v>294</v>
      </c>
      <c r="P202" t="s">
        <v>228</v>
      </c>
      <c r="Q202" t="s">
        <v>295</v>
      </c>
      <c r="R202" t="s">
        <v>296</v>
      </c>
      <c r="S202">
        <v>67</v>
      </c>
      <c r="T202">
        <v>90</v>
      </c>
      <c r="U202">
        <f t="shared" si="13"/>
        <v>-7.29505957049136</v>
      </c>
      <c r="V202">
        <f t="shared" si="14"/>
        <v>-877.442815791599</v>
      </c>
      <c r="W202">
        <f t="shared" si="15"/>
        <v>-7295.05957049136</v>
      </c>
      <c r="X202">
        <f t="shared" si="12"/>
        <v>-2.94443897916644</v>
      </c>
      <c r="Y202">
        <v>25</v>
      </c>
    </row>
    <row r="203" spans="1:25">
      <c r="A203" s="1">
        <v>226</v>
      </c>
      <c r="B203" t="s">
        <v>289</v>
      </c>
      <c r="C203" t="s">
        <v>375</v>
      </c>
      <c r="D203" t="s">
        <v>376</v>
      </c>
      <c r="E203" t="s">
        <v>59</v>
      </c>
      <c r="F203" t="s">
        <v>292</v>
      </c>
      <c r="G203">
        <v>25</v>
      </c>
      <c r="H203">
        <v>4</v>
      </c>
      <c r="I203">
        <v>43</v>
      </c>
      <c r="J203">
        <v>49</v>
      </c>
      <c r="K203">
        <v>10</v>
      </c>
      <c r="L203">
        <v>17</v>
      </c>
      <c r="M203">
        <v>12</v>
      </c>
      <c r="N203" t="s">
        <v>293</v>
      </c>
      <c r="O203" t="s">
        <v>294</v>
      </c>
      <c r="P203" t="s">
        <v>228</v>
      </c>
      <c r="Q203" t="s">
        <v>295</v>
      </c>
      <c r="R203" t="s">
        <v>296</v>
      </c>
      <c r="S203">
        <v>55</v>
      </c>
      <c r="T203">
        <v>92</v>
      </c>
      <c r="U203">
        <f t="shared" si="13"/>
        <v>-7.87385718456282</v>
      </c>
      <c r="V203">
        <f t="shared" si="14"/>
        <v>-947.060041443688</v>
      </c>
      <c r="W203">
        <f t="shared" si="15"/>
        <v>-7873.85718456282</v>
      </c>
      <c r="X203">
        <f t="shared" si="12"/>
        <v>-3.17805383034795</v>
      </c>
      <c r="Y203">
        <v>25</v>
      </c>
    </row>
    <row r="204" spans="1:25">
      <c r="A204" s="1">
        <v>228</v>
      </c>
      <c r="B204" t="s">
        <v>377</v>
      </c>
      <c r="C204" t="s">
        <v>378</v>
      </c>
      <c r="D204" t="s">
        <v>291</v>
      </c>
      <c r="E204" t="s">
        <v>65</v>
      </c>
      <c r="F204" t="s">
        <v>292</v>
      </c>
      <c r="G204">
        <v>25</v>
      </c>
      <c r="H204">
        <v>4</v>
      </c>
      <c r="I204">
        <v>26</v>
      </c>
      <c r="J204">
        <v>49</v>
      </c>
      <c r="K204">
        <v>10</v>
      </c>
      <c r="L204">
        <v>17</v>
      </c>
      <c r="M204">
        <v>12</v>
      </c>
      <c r="N204" t="s">
        <v>379</v>
      </c>
      <c r="O204" t="s">
        <v>294</v>
      </c>
      <c r="P204" t="s">
        <v>228</v>
      </c>
      <c r="Q204" t="s">
        <v>295</v>
      </c>
      <c r="R204" t="s">
        <v>296</v>
      </c>
      <c r="S204">
        <v>8</v>
      </c>
      <c r="T204">
        <v>40</v>
      </c>
      <c r="U204">
        <f t="shared" si="13"/>
        <v>-2.09924145455525</v>
      </c>
      <c r="V204">
        <f t="shared" si="14"/>
        <v>-252.494762395387</v>
      </c>
      <c r="W204">
        <f t="shared" si="15"/>
        <v>-2099.24145455525</v>
      </c>
      <c r="X204">
        <f t="shared" si="12"/>
        <v>-0.847297860387204</v>
      </c>
      <c r="Y204">
        <v>25</v>
      </c>
    </row>
    <row r="205" spans="1:25">
      <c r="A205" s="1">
        <v>233</v>
      </c>
      <c r="B205" t="s">
        <v>380</v>
      </c>
      <c r="C205" t="s">
        <v>378</v>
      </c>
      <c r="D205" t="s">
        <v>291</v>
      </c>
      <c r="E205" t="s">
        <v>65</v>
      </c>
      <c r="F205" t="s">
        <v>292</v>
      </c>
      <c r="G205">
        <v>25</v>
      </c>
      <c r="H205">
        <v>4</v>
      </c>
      <c r="I205">
        <v>26</v>
      </c>
      <c r="J205">
        <v>49</v>
      </c>
      <c r="K205">
        <v>10</v>
      </c>
      <c r="L205">
        <v>17</v>
      </c>
      <c r="M205">
        <v>12</v>
      </c>
      <c r="N205" t="s">
        <v>379</v>
      </c>
      <c r="O205" t="s">
        <v>294</v>
      </c>
      <c r="P205" t="s">
        <v>228</v>
      </c>
      <c r="Q205" t="s">
        <v>295</v>
      </c>
      <c r="R205" t="s">
        <v>296</v>
      </c>
      <c r="S205">
        <v>6</v>
      </c>
      <c r="T205">
        <v>10</v>
      </c>
      <c r="U205">
        <f t="shared" si="13"/>
        <v>-0.497176096297553</v>
      </c>
      <c r="V205">
        <f t="shared" si="14"/>
        <v>-59.7998672477211</v>
      </c>
      <c r="W205">
        <f t="shared" si="15"/>
        <v>-497.176096297553</v>
      </c>
      <c r="X205">
        <f t="shared" si="12"/>
        <v>-0.200670695462151</v>
      </c>
      <c r="Y205">
        <v>25</v>
      </c>
    </row>
    <row r="206" spans="1:25">
      <c r="A206" s="1">
        <v>234</v>
      </c>
      <c r="B206" t="s">
        <v>381</v>
      </c>
      <c r="C206" t="s">
        <v>378</v>
      </c>
      <c r="D206" t="s">
        <v>291</v>
      </c>
      <c r="E206" t="s">
        <v>65</v>
      </c>
      <c r="F206" t="s">
        <v>292</v>
      </c>
      <c r="G206">
        <v>25</v>
      </c>
      <c r="H206">
        <v>4</v>
      </c>
      <c r="I206">
        <v>26</v>
      </c>
      <c r="J206">
        <v>49</v>
      </c>
      <c r="K206">
        <v>10</v>
      </c>
      <c r="L206">
        <v>17</v>
      </c>
      <c r="M206">
        <v>12</v>
      </c>
      <c r="N206" t="s">
        <v>379</v>
      </c>
      <c r="O206" t="s">
        <v>294</v>
      </c>
      <c r="P206" t="s">
        <v>228</v>
      </c>
      <c r="Q206" t="s">
        <v>295</v>
      </c>
      <c r="R206" t="s">
        <v>296</v>
      </c>
      <c r="S206">
        <v>60</v>
      </c>
      <c r="T206">
        <v>75</v>
      </c>
      <c r="U206">
        <f t="shared" si="13"/>
        <v>-4.82113249981527</v>
      </c>
      <c r="V206">
        <f t="shared" si="14"/>
        <v>-579.881224418483</v>
      </c>
      <c r="W206">
        <f t="shared" si="15"/>
        <v>-4821.13249981527</v>
      </c>
      <c r="X206">
        <f t="shared" si="12"/>
        <v>-1.94591014905531</v>
      </c>
      <c r="Y206">
        <v>25</v>
      </c>
    </row>
    <row r="207" spans="1:25">
      <c r="A207" s="1">
        <v>235</v>
      </c>
      <c r="B207" t="s">
        <v>382</v>
      </c>
      <c r="C207" t="s">
        <v>378</v>
      </c>
      <c r="D207" t="s">
        <v>291</v>
      </c>
      <c r="E207" t="s">
        <v>65</v>
      </c>
      <c r="F207" t="s">
        <v>292</v>
      </c>
      <c r="G207">
        <v>25</v>
      </c>
      <c r="H207">
        <v>4</v>
      </c>
      <c r="I207">
        <v>26</v>
      </c>
      <c r="J207">
        <v>49</v>
      </c>
      <c r="K207">
        <v>10</v>
      </c>
      <c r="L207">
        <v>17</v>
      </c>
      <c r="M207">
        <v>12</v>
      </c>
      <c r="N207" t="s">
        <v>379</v>
      </c>
      <c r="O207" t="s">
        <v>294</v>
      </c>
      <c r="P207" t="s">
        <v>228</v>
      </c>
      <c r="Q207" t="s">
        <v>295</v>
      </c>
      <c r="R207" t="s">
        <v>296</v>
      </c>
      <c r="S207">
        <v>36</v>
      </c>
      <c r="T207">
        <v>84</v>
      </c>
      <c r="U207">
        <f t="shared" si="13"/>
        <v>-6.05109062911375</v>
      </c>
      <c r="V207">
        <f t="shared" si="14"/>
        <v>-727.819416540023</v>
      </c>
      <c r="W207">
        <f t="shared" si="15"/>
        <v>-6051.09062911375</v>
      </c>
      <c r="X207">
        <f t="shared" si="12"/>
        <v>-2.4423470353692</v>
      </c>
      <c r="Y207">
        <v>25</v>
      </c>
    </row>
    <row r="208" spans="1:25">
      <c r="A208" s="1">
        <v>236</v>
      </c>
      <c r="B208" t="s">
        <v>383</v>
      </c>
      <c r="C208" t="s">
        <v>378</v>
      </c>
      <c r="D208" t="s">
        <v>291</v>
      </c>
      <c r="E208" t="s">
        <v>65</v>
      </c>
      <c r="F208" t="s">
        <v>292</v>
      </c>
      <c r="G208">
        <v>25</v>
      </c>
      <c r="H208">
        <v>4</v>
      </c>
      <c r="I208">
        <v>26</v>
      </c>
      <c r="J208">
        <v>49</v>
      </c>
      <c r="K208">
        <v>10</v>
      </c>
      <c r="L208">
        <v>17</v>
      </c>
      <c r="M208">
        <v>12</v>
      </c>
      <c r="N208" t="s">
        <v>379</v>
      </c>
      <c r="O208" t="s">
        <v>294</v>
      </c>
      <c r="P208" t="s">
        <v>228</v>
      </c>
      <c r="Q208" t="s">
        <v>295</v>
      </c>
      <c r="R208" t="s">
        <v>296</v>
      </c>
      <c r="S208">
        <v>57</v>
      </c>
      <c r="T208">
        <v>67</v>
      </c>
      <c r="U208">
        <f t="shared" si="13"/>
        <v>-4.01734893373938</v>
      </c>
      <c r="V208">
        <f t="shared" si="14"/>
        <v>-483.202902783182</v>
      </c>
      <c r="W208">
        <f t="shared" si="15"/>
        <v>-4017.34893373938</v>
      </c>
      <c r="X208">
        <f t="shared" si="12"/>
        <v>-1.62148625095028</v>
      </c>
      <c r="Y208">
        <v>25</v>
      </c>
    </row>
    <row r="209" spans="1:25">
      <c r="A209" s="1">
        <v>237</v>
      </c>
      <c r="B209" t="s">
        <v>384</v>
      </c>
      <c r="C209" t="s">
        <v>378</v>
      </c>
      <c r="D209" t="s">
        <v>291</v>
      </c>
      <c r="E209" t="s">
        <v>65</v>
      </c>
      <c r="F209" t="s">
        <v>292</v>
      </c>
      <c r="G209">
        <v>25</v>
      </c>
      <c r="H209">
        <v>4</v>
      </c>
      <c r="I209">
        <v>26</v>
      </c>
      <c r="J209">
        <v>49</v>
      </c>
      <c r="K209">
        <v>10</v>
      </c>
      <c r="L209">
        <v>17</v>
      </c>
      <c r="M209">
        <v>12</v>
      </c>
      <c r="N209" t="s">
        <v>379</v>
      </c>
      <c r="O209" t="s">
        <v>294</v>
      </c>
      <c r="P209" t="s">
        <v>228</v>
      </c>
      <c r="Q209" t="s">
        <v>295</v>
      </c>
      <c r="R209" t="s">
        <v>296</v>
      </c>
      <c r="S209">
        <v>63</v>
      </c>
      <c r="T209">
        <v>67</v>
      </c>
      <c r="U209">
        <f t="shared" si="13"/>
        <v>-4.01734893373938</v>
      </c>
      <c r="V209">
        <f t="shared" si="14"/>
        <v>-483.202902783182</v>
      </c>
      <c r="W209">
        <f t="shared" si="15"/>
        <v>-4017.34893373938</v>
      </c>
      <c r="X209">
        <f t="shared" si="12"/>
        <v>-1.62148625095028</v>
      </c>
      <c r="Y209">
        <v>25</v>
      </c>
    </row>
    <row r="210" spans="1:25">
      <c r="A210" s="1">
        <v>238</v>
      </c>
      <c r="B210" t="s">
        <v>385</v>
      </c>
      <c r="C210" t="s">
        <v>378</v>
      </c>
      <c r="D210" t="s">
        <v>291</v>
      </c>
      <c r="E210" t="s">
        <v>65</v>
      </c>
      <c r="F210" t="s">
        <v>292</v>
      </c>
      <c r="G210">
        <v>25</v>
      </c>
      <c r="H210">
        <v>4</v>
      </c>
      <c r="I210">
        <v>26</v>
      </c>
      <c r="J210">
        <v>49</v>
      </c>
      <c r="K210">
        <v>10</v>
      </c>
      <c r="L210">
        <v>17</v>
      </c>
      <c r="M210">
        <v>12</v>
      </c>
      <c r="N210" t="s">
        <v>379</v>
      </c>
      <c r="O210" t="s">
        <v>294</v>
      </c>
      <c r="P210" t="s">
        <v>228</v>
      </c>
      <c r="Q210" t="s">
        <v>295</v>
      </c>
      <c r="R210" t="s">
        <v>296</v>
      </c>
      <c r="S210">
        <v>67</v>
      </c>
      <c r="T210">
        <v>90</v>
      </c>
      <c r="U210">
        <f t="shared" si="13"/>
        <v>-7.29505957049136</v>
      </c>
      <c r="V210">
        <f t="shared" si="14"/>
        <v>-877.442815791599</v>
      </c>
      <c r="W210">
        <f t="shared" si="15"/>
        <v>-7295.05957049136</v>
      </c>
      <c r="X210">
        <f t="shared" si="12"/>
        <v>-2.94443897916644</v>
      </c>
      <c r="Y210">
        <v>25</v>
      </c>
    </row>
    <row r="211" spans="1:25">
      <c r="A211" s="1">
        <v>239</v>
      </c>
      <c r="B211" t="s">
        <v>385</v>
      </c>
      <c r="C211" t="s">
        <v>378</v>
      </c>
      <c r="D211" t="s">
        <v>291</v>
      </c>
      <c r="E211" t="s">
        <v>65</v>
      </c>
      <c r="F211" t="s">
        <v>292</v>
      </c>
      <c r="G211">
        <v>25</v>
      </c>
      <c r="H211">
        <v>4</v>
      </c>
      <c r="I211">
        <v>26</v>
      </c>
      <c r="J211">
        <v>39</v>
      </c>
      <c r="K211">
        <v>10</v>
      </c>
      <c r="L211">
        <v>17</v>
      </c>
      <c r="M211">
        <v>12</v>
      </c>
      <c r="N211" t="s">
        <v>379</v>
      </c>
      <c r="O211" t="s">
        <v>386</v>
      </c>
      <c r="P211" t="s">
        <v>228</v>
      </c>
      <c r="Q211" t="s">
        <v>295</v>
      </c>
      <c r="R211" t="s">
        <v>296</v>
      </c>
      <c r="S211">
        <v>24</v>
      </c>
      <c r="T211">
        <v>88</v>
      </c>
      <c r="U211">
        <f t="shared" si="13"/>
        <v>-6.81712684860397</v>
      </c>
      <c r="V211">
        <f t="shared" si="14"/>
        <v>-819.957523286501</v>
      </c>
      <c r="W211">
        <f t="shared" si="15"/>
        <v>-6817.12684860397</v>
      </c>
      <c r="X211">
        <f t="shared" si="12"/>
        <v>-2.75153531304195</v>
      </c>
      <c r="Y211">
        <v>25</v>
      </c>
    </row>
    <row r="212" spans="1:25">
      <c r="A212" s="1">
        <v>240</v>
      </c>
      <c r="B212" t="s">
        <v>385</v>
      </c>
      <c r="C212" t="s">
        <v>378</v>
      </c>
      <c r="D212" t="s">
        <v>291</v>
      </c>
      <c r="E212" t="s">
        <v>65</v>
      </c>
      <c r="F212" t="s">
        <v>292</v>
      </c>
      <c r="G212">
        <v>25</v>
      </c>
      <c r="H212">
        <v>4</v>
      </c>
      <c r="I212">
        <v>26</v>
      </c>
      <c r="J212">
        <v>37</v>
      </c>
      <c r="K212">
        <v>10</v>
      </c>
      <c r="L212">
        <v>17</v>
      </c>
      <c r="M212">
        <v>12</v>
      </c>
      <c r="N212" t="s">
        <v>379</v>
      </c>
      <c r="O212" t="s">
        <v>387</v>
      </c>
      <c r="P212" t="s">
        <v>228</v>
      </c>
      <c r="Q212" t="s">
        <v>295</v>
      </c>
      <c r="R212" t="s">
        <v>296</v>
      </c>
      <c r="S212">
        <v>8</v>
      </c>
      <c r="T212">
        <v>59</v>
      </c>
      <c r="U212">
        <f t="shared" si="13"/>
        <v>-3.35793294965446</v>
      </c>
      <c r="V212">
        <f t="shared" si="14"/>
        <v>-403.888976383745</v>
      </c>
      <c r="W212">
        <f t="shared" si="15"/>
        <v>-3357.93294965446</v>
      </c>
      <c r="X212">
        <f t="shared" si="12"/>
        <v>-1.35533213551592</v>
      </c>
      <c r="Y212">
        <v>25</v>
      </c>
    </row>
    <row r="213" spans="1:25">
      <c r="A213" s="1">
        <v>241</v>
      </c>
      <c r="B213" t="s">
        <v>385</v>
      </c>
      <c r="C213" t="s">
        <v>378</v>
      </c>
      <c r="D213" t="s">
        <v>291</v>
      </c>
      <c r="E213" t="s">
        <v>65</v>
      </c>
      <c r="F213" t="s">
        <v>292</v>
      </c>
      <c r="G213">
        <v>25</v>
      </c>
      <c r="H213">
        <v>4</v>
      </c>
      <c r="I213">
        <v>26</v>
      </c>
      <c r="J213">
        <v>58</v>
      </c>
      <c r="K213">
        <v>10</v>
      </c>
      <c r="L213">
        <v>17</v>
      </c>
      <c r="M213">
        <v>12</v>
      </c>
      <c r="N213" t="s">
        <v>379</v>
      </c>
      <c r="O213" t="s">
        <v>388</v>
      </c>
      <c r="P213" t="s">
        <v>228</v>
      </c>
      <c r="Q213" t="s">
        <v>295</v>
      </c>
      <c r="R213" t="s">
        <v>296</v>
      </c>
      <c r="S213">
        <v>46</v>
      </c>
      <c r="T213">
        <v>91</v>
      </c>
      <c r="U213">
        <f t="shared" si="13"/>
        <v>-7.5691034911523</v>
      </c>
      <c r="V213">
        <f t="shared" si="14"/>
        <v>-910.404557511703</v>
      </c>
      <c r="W213">
        <f t="shared" si="15"/>
        <v>-7569.1034911523</v>
      </c>
      <c r="X213">
        <f t="shared" si="12"/>
        <v>-3.05504885071041</v>
      </c>
      <c r="Y213">
        <v>25</v>
      </c>
    </row>
    <row r="214" spans="1:25">
      <c r="A214" s="1">
        <v>242</v>
      </c>
      <c r="B214" t="s">
        <v>385</v>
      </c>
      <c r="C214" t="s">
        <v>378</v>
      </c>
      <c r="D214" t="s">
        <v>291</v>
      </c>
      <c r="E214" t="s">
        <v>65</v>
      </c>
      <c r="F214" t="s">
        <v>292</v>
      </c>
      <c r="G214">
        <v>25</v>
      </c>
      <c r="H214">
        <v>4</v>
      </c>
      <c r="I214">
        <v>26</v>
      </c>
      <c r="J214">
        <v>56</v>
      </c>
      <c r="K214">
        <v>10</v>
      </c>
      <c r="L214">
        <v>17</v>
      </c>
      <c r="M214">
        <v>12</v>
      </c>
      <c r="N214" t="s">
        <v>379</v>
      </c>
      <c r="O214" t="s">
        <v>389</v>
      </c>
      <c r="P214" t="s">
        <v>228</v>
      </c>
      <c r="Q214" t="s">
        <v>295</v>
      </c>
      <c r="R214" t="s">
        <v>296</v>
      </c>
      <c r="S214">
        <v>5</v>
      </c>
      <c r="T214">
        <v>42</v>
      </c>
      <c r="U214">
        <f t="shared" si="13"/>
        <v>-2.21837844422976</v>
      </c>
      <c r="V214">
        <f t="shared" si="14"/>
        <v>-266.824446022343</v>
      </c>
      <c r="W214">
        <f t="shared" si="15"/>
        <v>-2218.37844422976</v>
      </c>
      <c r="X214">
        <f t="shared" si="12"/>
        <v>-0.895384047054841</v>
      </c>
      <c r="Y214">
        <v>25</v>
      </c>
    </row>
    <row r="215" spans="1:25">
      <c r="A215" s="1">
        <v>243</v>
      </c>
      <c r="B215" t="s">
        <v>385</v>
      </c>
      <c r="C215" t="s">
        <v>378</v>
      </c>
      <c r="D215" t="s">
        <v>291</v>
      </c>
      <c r="E215" t="s">
        <v>65</v>
      </c>
      <c r="F215" t="s">
        <v>292</v>
      </c>
      <c r="G215">
        <v>25</v>
      </c>
      <c r="H215">
        <v>4</v>
      </c>
      <c r="I215">
        <v>26</v>
      </c>
      <c r="J215">
        <v>31</v>
      </c>
      <c r="K215">
        <v>10</v>
      </c>
      <c r="L215">
        <v>17</v>
      </c>
      <c r="M215">
        <v>12</v>
      </c>
      <c r="N215" t="s">
        <v>379</v>
      </c>
      <c r="O215" t="s">
        <v>390</v>
      </c>
      <c r="P215" t="s">
        <v>228</v>
      </c>
      <c r="Q215" t="s">
        <v>295</v>
      </c>
      <c r="R215" t="s">
        <v>296</v>
      </c>
      <c r="S215">
        <v>57</v>
      </c>
      <c r="T215">
        <v>62</v>
      </c>
      <c r="U215">
        <f t="shared" si="13"/>
        <v>-3.59250461054875</v>
      </c>
      <c r="V215">
        <f t="shared" si="14"/>
        <v>-432.103032300788</v>
      </c>
      <c r="W215">
        <f t="shared" si="15"/>
        <v>-3592.50461054875</v>
      </c>
      <c r="X215">
        <f t="shared" si="12"/>
        <v>-1.450010175506</v>
      </c>
      <c r="Y215">
        <v>25</v>
      </c>
    </row>
    <row r="216" spans="1:25">
      <c r="A216" s="1">
        <v>244</v>
      </c>
      <c r="B216" t="s">
        <v>385</v>
      </c>
      <c r="C216" t="s">
        <v>378</v>
      </c>
      <c r="D216" t="s">
        <v>291</v>
      </c>
      <c r="E216" t="s">
        <v>65</v>
      </c>
      <c r="F216" t="s">
        <v>292</v>
      </c>
      <c r="G216">
        <v>25</v>
      </c>
      <c r="H216">
        <v>4</v>
      </c>
      <c r="I216">
        <v>26</v>
      </c>
      <c r="J216">
        <v>41</v>
      </c>
      <c r="K216">
        <v>10</v>
      </c>
      <c r="L216">
        <v>17</v>
      </c>
      <c r="M216">
        <v>12</v>
      </c>
      <c r="N216" t="s">
        <v>379</v>
      </c>
      <c r="O216" t="s">
        <v>391</v>
      </c>
      <c r="P216" t="s">
        <v>228</v>
      </c>
      <c r="Q216" t="s">
        <v>295</v>
      </c>
      <c r="R216" t="s">
        <v>296</v>
      </c>
      <c r="S216">
        <v>51</v>
      </c>
      <c r="T216">
        <v>88</v>
      </c>
      <c r="U216">
        <f t="shared" si="13"/>
        <v>-6.81712684860397</v>
      </c>
      <c r="V216">
        <f t="shared" si="14"/>
        <v>-819.957523286501</v>
      </c>
      <c r="W216">
        <f t="shared" si="15"/>
        <v>-6817.12684860397</v>
      </c>
      <c r="X216">
        <f t="shared" si="12"/>
        <v>-2.75153531304195</v>
      </c>
      <c r="Y216">
        <v>25</v>
      </c>
    </row>
    <row r="217" spans="1:25">
      <c r="A217" s="1">
        <v>245</v>
      </c>
      <c r="B217" t="s">
        <v>385</v>
      </c>
      <c r="C217" t="s">
        <v>378</v>
      </c>
      <c r="D217" t="s">
        <v>291</v>
      </c>
      <c r="E217" t="s">
        <v>65</v>
      </c>
      <c r="F217" t="s">
        <v>292</v>
      </c>
      <c r="G217">
        <v>25</v>
      </c>
      <c r="H217">
        <v>4</v>
      </c>
      <c r="I217">
        <v>26</v>
      </c>
      <c r="J217">
        <v>49</v>
      </c>
      <c r="K217">
        <v>10</v>
      </c>
      <c r="L217">
        <v>17</v>
      </c>
      <c r="M217">
        <v>12</v>
      </c>
      <c r="N217" t="s">
        <v>379</v>
      </c>
      <c r="O217" t="s">
        <v>294</v>
      </c>
      <c r="P217" t="s">
        <v>228</v>
      </c>
      <c r="Q217" t="s">
        <v>295</v>
      </c>
      <c r="R217" t="s">
        <v>296</v>
      </c>
      <c r="S217">
        <v>62</v>
      </c>
      <c r="T217">
        <v>89</v>
      </c>
      <c r="U217">
        <f t="shared" si="13"/>
        <v>-7.04584744877774</v>
      </c>
      <c r="V217">
        <f t="shared" si="14"/>
        <v>-847.467819193859</v>
      </c>
      <c r="W217">
        <f t="shared" si="15"/>
        <v>-7045.84744877774</v>
      </c>
      <c r="X217">
        <f t="shared" si="12"/>
        <v>-2.84385174226127</v>
      </c>
      <c r="Y217">
        <v>25</v>
      </c>
    </row>
    <row r="218" spans="1:25">
      <c r="A218" s="1">
        <v>246</v>
      </c>
      <c r="B218" t="s">
        <v>385</v>
      </c>
      <c r="C218" t="s">
        <v>378</v>
      </c>
      <c r="D218" t="s">
        <v>291</v>
      </c>
      <c r="E218" t="s">
        <v>65</v>
      </c>
      <c r="F218" t="s">
        <v>292</v>
      </c>
      <c r="G218">
        <v>25</v>
      </c>
      <c r="H218">
        <v>4</v>
      </c>
      <c r="I218">
        <v>26</v>
      </c>
      <c r="J218">
        <v>60</v>
      </c>
      <c r="K218">
        <v>10</v>
      </c>
      <c r="L218">
        <v>17</v>
      </c>
      <c r="M218">
        <v>12</v>
      </c>
      <c r="N218" t="s">
        <v>379</v>
      </c>
      <c r="O218" t="s">
        <v>392</v>
      </c>
      <c r="P218" t="s">
        <v>228</v>
      </c>
      <c r="Q218" t="s">
        <v>295</v>
      </c>
      <c r="R218" t="s">
        <v>296</v>
      </c>
      <c r="S218">
        <v>27</v>
      </c>
      <c r="T218">
        <v>88</v>
      </c>
      <c r="U218">
        <f t="shared" si="13"/>
        <v>-6.81712684860397</v>
      </c>
      <c r="V218">
        <f t="shared" si="14"/>
        <v>-819.957523286501</v>
      </c>
      <c r="W218">
        <f t="shared" si="15"/>
        <v>-6817.12684860397</v>
      </c>
      <c r="X218">
        <f t="shared" si="12"/>
        <v>-2.75153531304195</v>
      </c>
      <c r="Y218">
        <v>25</v>
      </c>
    </row>
    <row r="219" spans="1:25">
      <c r="A219" s="1">
        <v>247</v>
      </c>
      <c r="B219" t="s">
        <v>385</v>
      </c>
      <c r="C219" t="s">
        <v>378</v>
      </c>
      <c r="D219" t="s">
        <v>291</v>
      </c>
      <c r="E219" t="s">
        <v>65</v>
      </c>
      <c r="F219" t="s">
        <v>292</v>
      </c>
      <c r="G219">
        <v>25</v>
      </c>
      <c r="H219">
        <v>4</v>
      </c>
      <c r="I219">
        <v>26</v>
      </c>
      <c r="J219">
        <v>2</v>
      </c>
      <c r="K219">
        <v>10</v>
      </c>
      <c r="L219">
        <v>17</v>
      </c>
      <c r="M219">
        <v>12</v>
      </c>
      <c r="N219" t="s">
        <v>379</v>
      </c>
      <c r="O219" t="s">
        <v>393</v>
      </c>
      <c r="P219" t="s">
        <v>228</v>
      </c>
      <c r="Q219" t="s">
        <v>295</v>
      </c>
      <c r="R219" t="s">
        <v>296</v>
      </c>
      <c r="S219">
        <v>15</v>
      </c>
      <c r="T219">
        <v>94</v>
      </c>
      <c r="U219">
        <f t="shared" si="13"/>
        <v>-8.61228478317256</v>
      </c>
      <c r="V219">
        <f t="shared" si="14"/>
        <v>-1035.87740957091</v>
      </c>
      <c r="W219">
        <f t="shared" si="15"/>
        <v>-8612.28478317256</v>
      </c>
      <c r="X219">
        <f t="shared" si="12"/>
        <v>-3.47609868983527</v>
      </c>
      <c r="Y219">
        <v>25</v>
      </c>
    </row>
    <row r="220" spans="1:25">
      <c r="A220" s="1">
        <v>248</v>
      </c>
      <c r="B220" t="s">
        <v>385</v>
      </c>
      <c r="C220" t="s">
        <v>378</v>
      </c>
      <c r="D220" t="s">
        <v>291</v>
      </c>
      <c r="E220" t="s">
        <v>65</v>
      </c>
      <c r="F220" t="s">
        <v>292</v>
      </c>
      <c r="G220">
        <v>25</v>
      </c>
      <c r="H220">
        <v>4</v>
      </c>
      <c r="I220">
        <v>31</v>
      </c>
      <c r="J220">
        <v>49</v>
      </c>
      <c r="K220">
        <v>10</v>
      </c>
      <c r="L220">
        <v>17</v>
      </c>
      <c r="M220">
        <v>12</v>
      </c>
      <c r="N220" t="s">
        <v>394</v>
      </c>
      <c r="O220" t="s">
        <v>294</v>
      </c>
      <c r="P220" t="s">
        <v>228</v>
      </c>
      <c r="Q220" t="s">
        <v>295</v>
      </c>
      <c r="R220" t="s">
        <v>296</v>
      </c>
      <c r="S220">
        <v>66</v>
      </c>
      <c r="T220">
        <v>90</v>
      </c>
      <c r="U220">
        <f t="shared" si="13"/>
        <v>-7.29505957049136</v>
      </c>
      <c r="V220">
        <f t="shared" si="14"/>
        <v>-877.442815791599</v>
      </c>
      <c r="W220">
        <f t="shared" si="15"/>
        <v>-7295.05957049136</v>
      </c>
      <c r="X220">
        <f t="shared" si="12"/>
        <v>-2.94443897916644</v>
      </c>
      <c r="Y220">
        <v>25</v>
      </c>
    </row>
    <row r="221" spans="1:25">
      <c r="A221" s="1">
        <v>249</v>
      </c>
      <c r="B221" t="s">
        <v>385</v>
      </c>
      <c r="C221" t="s">
        <v>378</v>
      </c>
      <c r="D221" t="s">
        <v>291</v>
      </c>
      <c r="E221" t="s">
        <v>65</v>
      </c>
      <c r="F221" t="s">
        <v>292</v>
      </c>
      <c r="G221">
        <v>25</v>
      </c>
      <c r="H221">
        <v>4</v>
      </c>
      <c r="I221">
        <v>63</v>
      </c>
      <c r="J221">
        <v>49</v>
      </c>
      <c r="K221">
        <v>10</v>
      </c>
      <c r="L221">
        <v>17</v>
      </c>
      <c r="M221">
        <v>12</v>
      </c>
      <c r="N221" t="s">
        <v>196</v>
      </c>
      <c r="O221" t="s">
        <v>294</v>
      </c>
      <c r="P221" t="s">
        <v>228</v>
      </c>
      <c r="Q221" t="s">
        <v>295</v>
      </c>
      <c r="R221" t="s">
        <v>296</v>
      </c>
      <c r="S221">
        <v>53</v>
      </c>
      <c r="T221">
        <v>82</v>
      </c>
      <c r="U221">
        <f t="shared" si="13"/>
        <v>-5.73219711875991</v>
      </c>
      <c r="V221">
        <f t="shared" si="14"/>
        <v>-689.463208895828</v>
      </c>
      <c r="W221">
        <f t="shared" si="15"/>
        <v>-5732.19711875991</v>
      </c>
      <c r="X221">
        <f t="shared" si="12"/>
        <v>-2.31363492918063</v>
      </c>
      <c r="Y221">
        <v>25</v>
      </c>
    </row>
    <row r="222" spans="1:25">
      <c r="A222" s="1">
        <v>250</v>
      </c>
      <c r="B222" t="s">
        <v>385</v>
      </c>
      <c r="C222" t="s">
        <v>378</v>
      </c>
      <c r="D222" t="s">
        <v>291</v>
      </c>
      <c r="E222" t="s">
        <v>65</v>
      </c>
      <c r="F222" t="s">
        <v>292</v>
      </c>
      <c r="G222">
        <v>25</v>
      </c>
      <c r="H222">
        <v>4</v>
      </c>
      <c r="I222">
        <v>42</v>
      </c>
      <c r="J222">
        <v>49</v>
      </c>
      <c r="K222">
        <v>10</v>
      </c>
      <c r="L222">
        <v>17</v>
      </c>
      <c r="M222">
        <v>12</v>
      </c>
      <c r="N222" t="s">
        <v>395</v>
      </c>
      <c r="O222" t="s">
        <v>294</v>
      </c>
      <c r="P222" t="s">
        <v>228</v>
      </c>
      <c r="Q222" t="s">
        <v>295</v>
      </c>
      <c r="R222" t="s">
        <v>296</v>
      </c>
      <c r="S222">
        <v>39</v>
      </c>
      <c r="T222">
        <v>52</v>
      </c>
      <c r="U222">
        <f t="shared" si="13"/>
        <v>-2.85584647879707</v>
      </c>
      <c r="V222">
        <f t="shared" si="14"/>
        <v>-343.498493961639</v>
      </c>
      <c r="W222">
        <f t="shared" si="15"/>
        <v>-2855.84647879707</v>
      </c>
      <c r="X222">
        <f t="shared" si="12"/>
        <v>-1.15267950993839</v>
      </c>
      <c r="Y222">
        <v>25</v>
      </c>
    </row>
    <row r="223" spans="1:25">
      <c r="A223" s="1">
        <v>251</v>
      </c>
      <c r="B223" t="s">
        <v>385</v>
      </c>
      <c r="C223" t="s">
        <v>378</v>
      </c>
      <c r="D223" t="s">
        <v>291</v>
      </c>
      <c r="E223" t="s">
        <v>65</v>
      </c>
      <c r="F223" t="s">
        <v>292</v>
      </c>
      <c r="G223">
        <v>25</v>
      </c>
      <c r="H223">
        <v>4</v>
      </c>
      <c r="I223">
        <v>14</v>
      </c>
      <c r="J223">
        <v>49</v>
      </c>
      <c r="K223">
        <v>10</v>
      </c>
      <c r="L223">
        <v>17</v>
      </c>
      <c r="M223">
        <v>12</v>
      </c>
      <c r="N223" t="s">
        <v>214</v>
      </c>
      <c r="O223" t="s">
        <v>294</v>
      </c>
      <c r="P223" t="s">
        <v>228</v>
      </c>
      <c r="Q223" t="s">
        <v>295</v>
      </c>
      <c r="R223" t="s">
        <v>296</v>
      </c>
      <c r="S223">
        <v>32</v>
      </c>
      <c r="T223">
        <v>48</v>
      </c>
      <c r="U223">
        <f t="shared" si="13"/>
        <v>-2.59146240520108</v>
      </c>
      <c r="V223">
        <f t="shared" si="14"/>
        <v>-311.698629444441</v>
      </c>
      <c r="W223">
        <f t="shared" si="15"/>
        <v>-2591.46240520108</v>
      </c>
      <c r="X223">
        <f t="shared" si="12"/>
        <v>-1.04596855518269</v>
      </c>
      <c r="Y223">
        <v>25</v>
      </c>
    </row>
    <row r="224" spans="1:25">
      <c r="A224" s="1">
        <v>254</v>
      </c>
      <c r="B224" t="s">
        <v>385</v>
      </c>
      <c r="C224" t="s">
        <v>378</v>
      </c>
      <c r="D224" t="s">
        <v>291</v>
      </c>
      <c r="E224" t="s">
        <v>65</v>
      </c>
      <c r="F224" t="s">
        <v>292</v>
      </c>
      <c r="G224">
        <v>25</v>
      </c>
      <c r="H224">
        <v>4</v>
      </c>
      <c r="I224">
        <v>58</v>
      </c>
      <c r="J224">
        <v>49</v>
      </c>
      <c r="K224">
        <v>10</v>
      </c>
      <c r="L224">
        <v>17</v>
      </c>
      <c r="M224">
        <v>12</v>
      </c>
      <c r="N224" t="s">
        <v>219</v>
      </c>
      <c r="O224" t="s">
        <v>294</v>
      </c>
      <c r="P224" t="s">
        <v>228</v>
      </c>
      <c r="Q224" t="s">
        <v>295</v>
      </c>
      <c r="R224" t="s">
        <v>296</v>
      </c>
      <c r="S224">
        <v>23</v>
      </c>
      <c r="T224">
        <v>62</v>
      </c>
      <c r="U224">
        <f t="shared" si="13"/>
        <v>-3.59250461054875</v>
      </c>
      <c r="V224">
        <f t="shared" si="14"/>
        <v>-432.103032300788</v>
      </c>
      <c r="W224">
        <f t="shared" si="15"/>
        <v>-3592.50461054875</v>
      </c>
      <c r="X224">
        <f t="shared" si="12"/>
        <v>-1.450010175506</v>
      </c>
      <c r="Y224">
        <v>25</v>
      </c>
    </row>
    <row r="225" spans="1:25">
      <c r="A225" s="1">
        <v>255</v>
      </c>
      <c r="B225" t="s">
        <v>385</v>
      </c>
      <c r="C225" t="s">
        <v>378</v>
      </c>
      <c r="D225" t="s">
        <v>291</v>
      </c>
      <c r="E225" t="s">
        <v>65</v>
      </c>
      <c r="F225" t="s">
        <v>292</v>
      </c>
      <c r="G225">
        <v>25</v>
      </c>
      <c r="H225">
        <v>4</v>
      </c>
      <c r="I225">
        <v>12</v>
      </c>
      <c r="J225">
        <v>49</v>
      </c>
      <c r="K225">
        <v>10</v>
      </c>
      <c r="L225">
        <v>17</v>
      </c>
      <c r="M225">
        <v>12</v>
      </c>
      <c r="N225" t="s">
        <v>396</v>
      </c>
      <c r="O225" t="s">
        <v>294</v>
      </c>
      <c r="P225" t="s">
        <v>228</v>
      </c>
      <c r="Q225" t="s">
        <v>295</v>
      </c>
      <c r="R225" t="s">
        <v>296</v>
      </c>
      <c r="S225">
        <v>35</v>
      </c>
      <c r="T225">
        <v>95</v>
      </c>
      <c r="U225">
        <f t="shared" si="13"/>
        <v>-9.07673775472472</v>
      </c>
      <c r="V225">
        <f t="shared" si="14"/>
        <v>-1091.74137054663</v>
      </c>
      <c r="W225">
        <f t="shared" si="15"/>
        <v>-9076.73775472472</v>
      </c>
      <c r="X225">
        <f t="shared" si="12"/>
        <v>-3.66356164612965</v>
      </c>
      <c r="Y225">
        <v>25</v>
      </c>
    </row>
    <row r="226" spans="1:25">
      <c r="A226" s="1">
        <v>256</v>
      </c>
      <c r="B226" t="s">
        <v>385</v>
      </c>
      <c r="C226" t="s">
        <v>378</v>
      </c>
      <c r="D226" t="s">
        <v>291</v>
      </c>
      <c r="E226" t="s">
        <v>65</v>
      </c>
      <c r="F226" t="s">
        <v>292</v>
      </c>
      <c r="G226">
        <v>25</v>
      </c>
      <c r="H226">
        <v>4</v>
      </c>
      <c r="I226">
        <v>49</v>
      </c>
      <c r="J226">
        <v>49</v>
      </c>
      <c r="K226">
        <v>10</v>
      </c>
      <c r="L226">
        <v>17</v>
      </c>
      <c r="M226">
        <v>12</v>
      </c>
      <c r="N226" t="s">
        <v>29</v>
      </c>
      <c r="O226" t="s">
        <v>294</v>
      </c>
      <c r="P226" t="s">
        <v>228</v>
      </c>
      <c r="Q226" t="s">
        <v>295</v>
      </c>
      <c r="R226" t="s">
        <v>296</v>
      </c>
      <c r="S226">
        <v>60</v>
      </c>
      <c r="T226">
        <v>92</v>
      </c>
      <c r="U226">
        <f t="shared" si="13"/>
        <v>-7.87385718456282</v>
      </c>
      <c r="V226">
        <f t="shared" si="14"/>
        <v>-947.060041443688</v>
      </c>
      <c r="W226">
        <f t="shared" si="15"/>
        <v>-7873.85718456282</v>
      </c>
      <c r="X226">
        <f t="shared" si="12"/>
        <v>-3.17805383034795</v>
      </c>
      <c r="Y226">
        <v>25</v>
      </c>
    </row>
    <row r="227" spans="1:25">
      <c r="A227" s="1">
        <v>257</v>
      </c>
      <c r="B227" t="s">
        <v>385</v>
      </c>
      <c r="C227" t="s">
        <v>378</v>
      </c>
      <c r="D227" t="s">
        <v>291</v>
      </c>
      <c r="E227" t="s">
        <v>65</v>
      </c>
      <c r="F227" t="s">
        <v>292</v>
      </c>
      <c r="G227">
        <v>25</v>
      </c>
      <c r="H227">
        <v>4</v>
      </c>
      <c r="I227">
        <v>43</v>
      </c>
      <c r="J227">
        <v>49</v>
      </c>
      <c r="K227">
        <v>10</v>
      </c>
      <c r="L227">
        <v>17</v>
      </c>
      <c r="M227">
        <v>12</v>
      </c>
      <c r="N227" t="s">
        <v>293</v>
      </c>
      <c r="O227" t="s">
        <v>294</v>
      </c>
      <c r="P227" t="s">
        <v>228</v>
      </c>
      <c r="Q227" t="s">
        <v>295</v>
      </c>
      <c r="R227" t="s">
        <v>296</v>
      </c>
      <c r="S227">
        <v>69</v>
      </c>
      <c r="T227">
        <v>90</v>
      </c>
      <c r="U227">
        <f t="shared" si="13"/>
        <v>-7.29505957049136</v>
      </c>
      <c r="V227">
        <f t="shared" si="14"/>
        <v>-877.442815791599</v>
      </c>
      <c r="W227">
        <f t="shared" si="15"/>
        <v>-7295.05957049136</v>
      </c>
      <c r="X227">
        <f t="shared" ref="X227:X289" si="16">-LN((1+T227*0.01)/(1-T227*0.01))</f>
        <v>-2.94443897916644</v>
      </c>
      <c r="Y227">
        <v>25</v>
      </c>
    </row>
    <row r="228" spans="1:25">
      <c r="A228" s="1">
        <v>258</v>
      </c>
      <c r="B228" t="s">
        <v>385</v>
      </c>
      <c r="C228" t="s">
        <v>378</v>
      </c>
      <c r="D228" t="s">
        <v>291</v>
      </c>
      <c r="E228" t="s">
        <v>65</v>
      </c>
      <c r="F228" t="s">
        <v>292</v>
      </c>
      <c r="G228">
        <v>25</v>
      </c>
      <c r="H228">
        <v>4</v>
      </c>
      <c r="I228">
        <v>43</v>
      </c>
      <c r="J228">
        <v>49</v>
      </c>
      <c r="K228">
        <v>10</v>
      </c>
      <c r="L228">
        <v>17</v>
      </c>
      <c r="M228">
        <v>12</v>
      </c>
      <c r="N228" t="s">
        <v>293</v>
      </c>
      <c r="O228" t="s">
        <v>294</v>
      </c>
      <c r="P228" t="s">
        <v>228</v>
      </c>
      <c r="Q228" t="s">
        <v>295</v>
      </c>
      <c r="R228" t="s">
        <v>296</v>
      </c>
      <c r="S228">
        <v>74</v>
      </c>
      <c r="T228">
        <v>92</v>
      </c>
      <c r="U228">
        <f t="shared" si="13"/>
        <v>-7.87385718456282</v>
      </c>
      <c r="V228">
        <f t="shared" si="14"/>
        <v>-947.060041443688</v>
      </c>
      <c r="W228">
        <f t="shared" si="15"/>
        <v>-7873.85718456282</v>
      </c>
      <c r="X228">
        <f t="shared" si="16"/>
        <v>-3.17805383034795</v>
      </c>
      <c r="Y228">
        <v>25</v>
      </c>
    </row>
    <row r="229" spans="1:25">
      <c r="A229" s="1">
        <v>259</v>
      </c>
      <c r="B229" t="s">
        <v>385</v>
      </c>
      <c r="C229" t="s">
        <v>378</v>
      </c>
      <c r="D229" t="s">
        <v>291</v>
      </c>
      <c r="E229" t="s">
        <v>65</v>
      </c>
      <c r="F229" t="s">
        <v>292</v>
      </c>
      <c r="G229">
        <v>25</v>
      </c>
      <c r="H229">
        <v>4</v>
      </c>
      <c r="I229">
        <v>44</v>
      </c>
      <c r="J229">
        <v>49</v>
      </c>
      <c r="K229">
        <v>10</v>
      </c>
      <c r="L229">
        <v>17</v>
      </c>
      <c r="M229">
        <v>12</v>
      </c>
      <c r="N229" t="s">
        <v>397</v>
      </c>
      <c r="O229" t="s">
        <v>294</v>
      </c>
      <c r="P229" t="s">
        <v>228</v>
      </c>
      <c r="Q229" t="s">
        <v>295</v>
      </c>
      <c r="R229" t="s">
        <v>296</v>
      </c>
      <c r="S229">
        <v>69</v>
      </c>
      <c r="T229">
        <v>96</v>
      </c>
      <c r="U229">
        <f t="shared" si="13"/>
        <v>-9.64226499963054</v>
      </c>
      <c r="V229">
        <f t="shared" si="14"/>
        <v>-1159.76244883697</v>
      </c>
      <c r="W229">
        <f t="shared" si="15"/>
        <v>-9642.26499963054</v>
      </c>
      <c r="X229">
        <f t="shared" si="16"/>
        <v>-3.89182029811063</v>
      </c>
      <c r="Y229">
        <v>25</v>
      </c>
    </row>
    <row r="230" spans="1:25">
      <c r="A230" s="1">
        <v>260</v>
      </c>
      <c r="B230" t="s">
        <v>398</v>
      </c>
      <c r="C230" t="s">
        <v>399</v>
      </c>
      <c r="D230" t="s">
        <v>400</v>
      </c>
      <c r="E230" t="s">
        <v>401</v>
      </c>
      <c r="F230" t="s">
        <v>42</v>
      </c>
      <c r="G230">
        <v>25</v>
      </c>
      <c r="H230">
        <v>3</v>
      </c>
      <c r="I230">
        <v>59</v>
      </c>
      <c r="J230">
        <v>11</v>
      </c>
      <c r="K230">
        <v>0</v>
      </c>
      <c r="L230">
        <v>0</v>
      </c>
      <c r="M230">
        <v>10</v>
      </c>
      <c r="N230" t="s">
        <v>402</v>
      </c>
      <c r="O230" t="s">
        <v>403</v>
      </c>
      <c r="P230" t="s">
        <v>221</v>
      </c>
      <c r="Q230" t="s">
        <v>404</v>
      </c>
      <c r="R230" t="s">
        <v>405</v>
      </c>
      <c r="S230">
        <v>90</v>
      </c>
      <c r="T230">
        <v>93</v>
      </c>
      <c r="U230">
        <f t="shared" si="13"/>
        <v>-8.21756135689019</v>
      </c>
      <c r="V230">
        <f t="shared" si="14"/>
        <v>-988.400451875173</v>
      </c>
      <c r="W230">
        <f t="shared" si="15"/>
        <v>-8217.56135689019</v>
      </c>
      <c r="X230">
        <f t="shared" si="16"/>
        <v>-3.31678003984957</v>
      </c>
      <c r="Y230">
        <v>25</v>
      </c>
    </row>
    <row r="231" spans="1:25">
      <c r="A231" s="1">
        <v>261</v>
      </c>
      <c r="B231" t="s">
        <v>406</v>
      </c>
      <c r="C231" t="s">
        <v>399</v>
      </c>
      <c r="D231" t="s">
        <v>400</v>
      </c>
      <c r="E231" t="s">
        <v>401</v>
      </c>
      <c r="F231" t="s">
        <v>42</v>
      </c>
      <c r="G231">
        <v>25</v>
      </c>
      <c r="H231">
        <v>3</v>
      </c>
      <c r="I231">
        <v>59</v>
      </c>
      <c r="J231">
        <v>11</v>
      </c>
      <c r="K231">
        <v>0</v>
      </c>
      <c r="L231">
        <v>0</v>
      </c>
      <c r="M231">
        <v>10</v>
      </c>
      <c r="N231" t="s">
        <v>402</v>
      </c>
      <c r="O231" t="s">
        <v>403</v>
      </c>
      <c r="P231" t="s">
        <v>221</v>
      </c>
      <c r="Q231" t="s">
        <v>404</v>
      </c>
      <c r="R231" t="s">
        <v>405</v>
      </c>
      <c r="S231">
        <v>88</v>
      </c>
      <c r="T231">
        <v>92</v>
      </c>
      <c r="U231">
        <f t="shared" si="13"/>
        <v>-7.87385718456282</v>
      </c>
      <c r="V231">
        <f t="shared" si="14"/>
        <v>-947.060041443688</v>
      </c>
      <c r="W231">
        <f t="shared" si="15"/>
        <v>-7873.85718456282</v>
      </c>
      <c r="X231">
        <f t="shared" si="16"/>
        <v>-3.17805383034795</v>
      </c>
      <c r="Y231">
        <v>25</v>
      </c>
    </row>
    <row r="232" spans="1:25">
      <c r="A232" s="1">
        <v>262</v>
      </c>
      <c r="B232" t="s">
        <v>407</v>
      </c>
      <c r="C232" t="s">
        <v>399</v>
      </c>
      <c r="D232" t="s">
        <v>400</v>
      </c>
      <c r="E232" t="s">
        <v>401</v>
      </c>
      <c r="F232" t="s">
        <v>42</v>
      </c>
      <c r="G232">
        <v>25</v>
      </c>
      <c r="H232">
        <v>3</v>
      </c>
      <c r="I232">
        <v>59</v>
      </c>
      <c r="J232">
        <v>11</v>
      </c>
      <c r="K232">
        <v>0</v>
      </c>
      <c r="L232">
        <v>0</v>
      </c>
      <c r="M232">
        <v>10</v>
      </c>
      <c r="N232" t="s">
        <v>402</v>
      </c>
      <c r="O232" t="s">
        <v>403</v>
      </c>
      <c r="P232" t="s">
        <v>221</v>
      </c>
      <c r="Q232" t="s">
        <v>404</v>
      </c>
      <c r="R232" t="s">
        <v>405</v>
      </c>
      <c r="S232">
        <v>46</v>
      </c>
      <c r="T232">
        <v>73</v>
      </c>
      <c r="U232">
        <f t="shared" si="13"/>
        <v>-4.60197782658297</v>
      </c>
      <c r="V232">
        <f t="shared" si="14"/>
        <v>-553.521509091048</v>
      </c>
      <c r="W232">
        <f t="shared" si="15"/>
        <v>-4601.97782658297</v>
      </c>
      <c r="X232">
        <f t="shared" si="16"/>
        <v>-1.85745472849345</v>
      </c>
      <c r="Y232">
        <v>25</v>
      </c>
    </row>
    <row r="233" spans="1:25">
      <c r="A233" s="1">
        <v>263</v>
      </c>
      <c r="B233" t="s">
        <v>408</v>
      </c>
      <c r="C233" t="s">
        <v>399</v>
      </c>
      <c r="D233" t="s">
        <v>400</v>
      </c>
      <c r="E233" t="s">
        <v>401</v>
      </c>
      <c r="F233" t="s">
        <v>42</v>
      </c>
      <c r="G233">
        <v>25</v>
      </c>
      <c r="H233">
        <v>3</v>
      </c>
      <c r="I233">
        <v>59</v>
      </c>
      <c r="J233">
        <v>11</v>
      </c>
      <c r="K233">
        <v>0</v>
      </c>
      <c r="L233">
        <v>0</v>
      </c>
      <c r="M233">
        <v>10</v>
      </c>
      <c r="N233" t="s">
        <v>402</v>
      </c>
      <c r="O233" t="s">
        <v>403</v>
      </c>
      <c r="P233" t="s">
        <v>221</v>
      </c>
      <c r="Q233" t="s">
        <v>404</v>
      </c>
      <c r="R233" t="s">
        <v>405</v>
      </c>
      <c r="S233">
        <v>54</v>
      </c>
      <c r="T233">
        <v>71</v>
      </c>
      <c r="U233">
        <f t="shared" si="13"/>
        <v>-4.39612379692016</v>
      </c>
      <c r="V233">
        <f t="shared" si="14"/>
        <v>-528.761582501823</v>
      </c>
      <c r="W233">
        <f t="shared" si="15"/>
        <v>-4396.12379692016</v>
      </c>
      <c r="X233">
        <f t="shared" si="16"/>
        <v>-1.77436772651619</v>
      </c>
      <c r="Y233">
        <v>25</v>
      </c>
    </row>
    <row r="234" spans="1:25">
      <c r="A234" s="1">
        <v>264</v>
      </c>
      <c r="B234" t="s">
        <v>398</v>
      </c>
      <c r="C234" t="s">
        <v>399</v>
      </c>
      <c r="D234" t="s">
        <v>400</v>
      </c>
      <c r="E234" t="s">
        <v>401</v>
      </c>
      <c r="F234" t="s">
        <v>409</v>
      </c>
      <c r="G234">
        <v>25</v>
      </c>
      <c r="H234">
        <v>2</v>
      </c>
      <c r="I234">
        <v>59</v>
      </c>
      <c r="J234">
        <v>11</v>
      </c>
      <c r="K234">
        <v>0</v>
      </c>
      <c r="L234">
        <v>0</v>
      </c>
      <c r="M234">
        <v>10</v>
      </c>
      <c r="N234" t="s">
        <v>402</v>
      </c>
      <c r="O234" t="s">
        <v>403</v>
      </c>
      <c r="P234" t="s">
        <v>221</v>
      </c>
      <c r="Q234" t="s">
        <v>404</v>
      </c>
      <c r="R234" t="s">
        <v>405</v>
      </c>
      <c r="S234">
        <v>84</v>
      </c>
      <c r="T234">
        <v>93</v>
      </c>
      <c r="U234">
        <f t="shared" si="13"/>
        <v>-8.21756135689019</v>
      </c>
      <c r="V234">
        <f t="shared" si="14"/>
        <v>-988.400451875173</v>
      </c>
      <c r="W234">
        <f t="shared" si="15"/>
        <v>-8217.56135689019</v>
      </c>
      <c r="X234">
        <f t="shared" si="16"/>
        <v>-3.31678003984957</v>
      </c>
      <c r="Y234">
        <v>25</v>
      </c>
    </row>
    <row r="235" spans="1:25">
      <c r="A235" s="1">
        <v>265</v>
      </c>
      <c r="B235" t="s">
        <v>398</v>
      </c>
      <c r="C235" t="s">
        <v>399</v>
      </c>
      <c r="D235" t="s">
        <v>400</v>
      </c>
      <c r="E235" t="s">
        <v>401</v>
      </c>
      <c r="F235" t="s">
        <v>28</v>
      </c>
      <c r="G235">
        <v>25</v>
      </c>
      <c r="H235">
        <v>7</v>
      </c>
      <c r="I235">
        <v>59</v>
      </c>
      <c r="J235">
        <v>11</v>
      </c>
      <c r="K235">
        <v>0</v>
      </c>
      <c r="L235">
        <v>0</v>
      </c>
      <c r="M235">
        <v>10</v>
      </c>
      <c r="N235" t="s">
        <v>402</v>
      </c>
      <c r="O235" t="s">
        <v>403</v>
      </c>
      <c r="P235" t="s">
        <v>221</v>
      </c>
      <c r="Q235" t="s">
        <v>404</v>
      </c>
      <c r="R235" t="s">
        <v>405</v>
      </c>
      <c r="S235">
        <v>85</v>
      </c>
      <c r="T235">
        <v>92</v>
      </c>
      <c r="U235">
        <f t="shared" si="13"/>
        <v>-7.87385718456282</v>
      </c>
      <c r="V235">
        <f t="shared" si="14"/>
        <v>-947.060041443688</v>
      </c>
      <c r="W235">
        <f t="shared" si="15"/>
        <v>-7873.85718456282</v>
      </c>
      <c r="X235">
        <f t="shared" si="16"/>
        <v>-3.17805383034795</v>
      </c>
      <c r="Y235">
        <v>25</v>
      </c>
    </row>
    <row r="236" spans="1:25">
      <c r="A236" s="1">
        <v>266</v>
      </c>
      <c r="B236" t="s">
        <v>398</v>
      </c>
      <c r="C236" t="s">
        <v>399</v>
      </c>
      <c r="D236" t="s">
        <v>400</v>
      </c>
      <c r="E236" t="s">
        <v>401</v>
      </c>
      <c r="F236" t="s">
        <v>42</v>
      </c>
      <c r="G236">
        <v>25</v>
      </c>
      <c r="H236">
        <v>3</v>
      </c>
      <c r="I236">
        <v>59</v>
      </c>
      <c r="J236">
        <v>11</v>
      </c>
      <c r="K236">
        <v>10</v>
      </c>
      <c r="L236">
        <v>0</v>
      </c>
      <c r="M236">
        <v>10</v>
      </c>
      <c r="N236" t="s">
        <v>402</v>
      </c>
      <c r="O236" t="s">
        <v>403</v>
      </c>
      <c r="P236" t="s">
        <v>228</v>
      </c>
      <c r="Q236" t="s">
        <v>404</v>
      </c>
      <c r="R236" t="s">
        <v>405</v>
      </c>
      <c r="S236">
        <v>40</v>
      </c>
      <c r="T236">
        <v>92</v>
      </c>
      <c r="U236">
        <f t="shared" si="13"/>
        <v>-7.87385718456282</v>
      </c>
      <c r="V236">
        <f t="shared" si="14"/>
        <v>-947.060041443688</v>
      </c>
      <c r="W236">
        <f t="shared" si="15"/>
        <v>-7873.85718456282</v>
      </c>
      <c r="X236">
        <f t="shared" si="16"/>
        <v>-3.17805383034795</v>
      </c>
      <c r="Y236">
        <v>25</v>
      </c>
    </row>
    <row r="237" spans="1:25">
      <c r="A237" s="1">
        <v>267</v>
      </c>
      <c r="B237" t="s">
        <v>398</v>
      </c>
      <c r="C237" t="s">
        <v>399</v>
      </c>
      <c r="D237" t="s">
        <v>400</v>
      </c>
      <c r="E237" t="s">
        <v>401</v>
      </c>
      <c r="F237" t="s">
        <v>42</v>
      </c>
      <c r="G237">
        <v>25</v>
      </c>
      <c r="H237">
        <v>3</v>
      </c>
      <c r="I237">
        <v>59</v>
      </c>
      <c r="J237">
        <v>11</v>
      </c>
      <c r="K237">
        <v>16</v>
      </c>
      <c r="L237">
        <v>0</v>
      </c>
      <c r="M237">
        <v>10</v>
      </c>
      <c r="N237" t="s">
        <v>402</v>
      </c>
      <c r="O237" t="s">
        <v>403</v>
      </c>
      <c r="P237" t="s">
        <v>410</v>
      </c>
      <c r="Q237" t="s">
        <v>404</v>
      </c>
      <c r="R237" t="s">
        <v>405</v>
      </c>
      <c r="S237">
        <v>16</v>
      </c>
      <c r="T237">
        <v>92</v>
      </c>
      <c r="U237">
        <f t="shared" si="13"/>
        <v>-7.87385718456282</v>
      </c>
      <c r="V237">
        <f t="shared" si="14"/>
        <v>-947.060041443688</v>
      </c>
      <c r="W237">
        <f t="shared" si="15"/>
        <v>-7873.85718456282</v>
      </c>
      <c r="X237">
        <f t="shared" si="16"/>
        <v>-3.17805383034795</v>
      </c>
      <c r="Y237">
        <v>25</v>
      </c>
    </row>
    <row r="238" spans="1:25">
      <c r="A238" s="1">
        <v>268</v>
      </c>
      <c r="B238" t="s">
        <v>398</v>
      </c>
      <c r="C238" t="s">
        <v>399</v>
      </c>
      <c r="D238" t="s">
        <v>400</v>
      </c>
      <c r="E238" t="s">
        <v>401</v>
      </c>
      <c r="F238" t="s">
        <v>42</v>
      </c>
      <c r="G238">
        <v>25</v>
      </c>
      <c r="H238">
        <v>3</v>
      </c>
      <c r="I238">
        <v>58</v>
      </c>
      <c r="J238">
        <v>11</v>
      </c>
      <c r="K238">
        <v>0</v>
      </c>
      <c r="L238">
        <v>0</v>
      </c>
      <c r="M238">
        <v>10</v>
      </c>
      <c r="N238" t="s">
        <v>219</v>
      </c>
      <c r="O238" t="s">
        <v>403</v>
      </c>
      <c r="P238" t="s">
        <v>221</v>
      </c>
      <c r="Q238" t="s">
        <v>404</v>
      </c>
      <c r="R238" t="s">
        <v>405</v>
      </c>
      <c r="S238">
        <v>32</v>
      </c>
      <c r="T238">
        <v>61</v>
      </c>
      <c r="U238">
        <f t="shared" si="13"/>
        <v>-3.51280742063857</v>
      </c>
      <c r="V238">
        <f t="shared" si="14"/>
        <v>-422.517130218735</v>
      </c>
      <c r="W238">
        <f t="shared" si="15"/>
        <v>-3512.80742063857</v>
      </c>
      <c r="X238">
        <f t="shared" si="16"/>
        <v>-1.41784271885482</v>
      </c>
      <c r="Y238">
        <v>25</v>
      </c>
    </row>
    <row r="239" spans="1:25">
      <c r="A239" s="1">
        <v>270</v>
      </c>
      <c r="B239" t="s">
        <v>398</v>
      </c>
      <c r="C239" t="s">
        <v>399</v>
      </c>
      <c r="D239" t="s">
        <v>400</v>
      </c>
      <c r="E239" t="s">
        <v>401</v>
      </c>
      <c r="F239" t="s">
        <v>42</v>
      </c>
      <c r="G239">
        <v>25</v>
      </c>
      <c r="H239">
        <v>3</v>
      </c>
      <c r="I239">
        <v>59</v>
      </c>
      <c r="J239">
        <v>27</v>
      </c>
      <c r="K239">
        <v>0</v>
      </c>
      <c r="L239">
        <v>0</v>
      </c>
      <c r="M239">
        <v>10</v>
      </c>
      <c r="N239" t="s">
        <v>402</v>
      </c>
      <c r="O239" t="s">
        <v>411</v>
      </c>
      <c r="P239" t="s">
        <v>221</v>
      </c>
      <c r="Q239" t="s">
        <v>404</v>
      </c>
      <c r="R239" t="s">
        <v>405</v>
      </c>
      <c r="S239">
        <v>40</v>
      </c>
      <c r="T239">
        <v>92</v>
      </c>
      <c r="U239">
        <f t="shared" si="13"/>
        <v>-7.87385718456282</v>
      </c>
      <c r="V239">
        <f t="shared" si="14"/>
        <v>-947.060041443688</v>
      </c>
      <c r="W239">
        <f t="shared" si="15"/>
        <v>-7873.85718456282</v>
      </c>
      <c r="X239">
        <f t="shared" si="16"/>
        <v>-3.17805383034795</v>
      </c>
      <c r="Y239">
        <v>25</v>
      </c>
    </row>
    <row r="240" spans="1:25">
      <c r="A240" s="1">
        <v>271</v>
      </c>
      <c r="B240" t="s">
        <v>398</v>
      </c>
      <c r="C240" t="s">
        <v>399</v>
      </c>
      <c r="D240" t="s">
        <v>400</v>
      </c>
      <c r="E240" t="s">
        <v>401</v>
      </c>
      <c r="F240" t="s">
        <v>42</v>
      </c>
      <c r="G240">
        <v>25</v>
      </c>
      <c r="H240">
        <v>3</v>
      </c>
      <c r="I240">
        <v>59</v>
      </c>
      <c r="J240">
        <v>47</v>
      </c>
      <c r="K240">
        <v>0</v>
      </c>
      <c r="L240">
        <v>0</v>
      </c>
      <c r="M240">
        <v>10</v>
      </c>
      <c r="N240" t="s">
        <v>402</v>
      </c>
      <c r="O240" t="s">
        <v>412</v>
      </c>
      <c r="P240" t="s">
        <v>221</v>
      </c>
      <c r="Q240" t="s">
        <v>404</v>
      </c>
      <c r="R240" t="s">
        <v>405</v>
      </c>
      <c r="S240">
        <v>39</v>
      </c>
      <c r="T240">
        <v>92</v>
      </c>
      <c r="U240">
        <f t="shared" si="13"/>
        <v>-7.87385718456282</v>
      </c>
      <c r="V240">
        <f t="shared" si="14"/>
        <v>-947.060041443688</v>
      </c>
      <c r="W240">
        <f t="shared" si="15"/>
        <v>-7873.85718456282</v>
      </c>
      <c r="X240">
        <f t="shared" si="16"/>
        <v>-3.17805383034795</v>
      </c>
      <c r="Y240">
        <v>25</v>
      </c>
    </row>
    <row r="241" spans="1:25">
      <c r="A241" s="1">
        <v>272</v>
      </c>
      <c r="B241" t="s">
        <v>413</v>
      </c>
      <c r="C241" t="s">
        <v>399</v>
      </c>
      <c r="D241" t="s">
        <v>400</v>
      </c>
      <c r="E241" t="s">
        <v>401</v>
      </c>
      <c r="F241" t="s">
        <v>42</v>
      </c>
      <c r="G241">
        <v>25</v>
      </c>
      <c r="H241">
        <v>3</v>
      </c>
      <c r="I241">
        <v>59</v>
      </c>
      <c r="J241">
        <v>11</v>
      </c>
      <c r="K241">
        <v>0</v>
      </c>
      <c r="L241">
        <v>0</v>
      </c>
      <c r="M241">
        <v>10</v>
      </c>
      <c r="N241" t="s">
        <v>402</v>
      </c>
      <c r="O241" t="s">
        <v>403</v>
      </c>
      <c r="P241" t="s">
        <v>221</v>
      </c>
      <c r="Q241" t="s">
        <v>404</v>
      </c>
      <c r="R241" t="s">
        <v>405</v>
      </c>
      <c r="S241">
        <v>83</v>
      </c>
      <c r="T241">
        <v>84</v>
      </c>
      <c r="U241">
        <f t="shared" si="13"/>
        <v>-6.05109062911375</v>
      </c>
      <c r="V241">
        <f t="shared" si="14"/>
        <v>-727.819416540023</v>
      </c>
      <c r="W241">
        <f t="shared" si="15"/>
        <v>-6051.09062911375</v>
      </c>
      <c r="X241">
        <f t="shared" si="16"/>
        <v>-2.4423470353692</v>
      </c>
      <c r="Y241">
        <v>25</v>
      </c>
    </row>
    <row r="242" spans="1:25">
      <c r="A242" s="1">
        <v>273</v>
      </c>
      <c r="B242" t="s">
        <v>414</v>
      </c>
      <c r="C242" t="s">
        <v>399</v>
      </c>
      <c r="D242" t="s">
        <v>400</v>
      </c>
      <c r="E242" t="s">
        <v>401</v>
      </c>
      <c r="F242" t="s">
        <v>42</v>
      </c>
      <c r="G242">
        <v>25</v>
      </c>
      <c r="H242">
        <v>3</v>
      </c>
      <c r="I242">
        <v>59</v>
      </c>
      <c r="J242">
        <v>11</v>
      </c>
      <c r="K242">
        <v>0</v>
      </c>
      <c r="L242">
        <v>0</v>
      </c>
      <c r="M242">
        <v>10</v>
      </c>
      <c r="N242" t="s">
        <v>402</v>
      </c>
      <c r="O242" t="s">
        <v>403</v>
      </c>
      <c r="P242" t="s">
        <v>221</v>
      </c>
      <c r="Q242" t="s">
        <v>404</v>
      </c>
      <c r="R242" t="s">
        <v>405</v>
      </c>
      <c r="S242">
        <v>30</v>
      </c>
      <c r="T242">
        <v>26</v>
      </c>
      <c r="U242">
        <f t="shared" si="13"/>
        <v>-1.31860547566955</v>
      </c>
      <c r="V242">
        <f t="shared" si="14"/>
        <v>-158.600610496698</v>
      </c>
      <c r="W242">
        <f t="shared" si="15"/>
        <v>-1318.60547566955</v>
      </c>
      <c r="X242">
        <f t="shared" si="16"/>
        <v>-0.532216813747308</v>
      </c>
      <c r="Y242">
        <v>25</v>
      </c>
    </row>
    <row r="243" spans="1:25">
      <c r="A243" s="1">
        <v>274</v>
      </c>
      <c r="B243" t="s">
        <v>415</v>
      </c>
      <c r="C243" t="s">
        <v>399</v>
      </c>
      <c r="D243" t="s">
        <v>400</v>
      </c>
      <c r="E243" t="s">
        <v>401</v>
      </c>
      <c r="F243" t="s">
        <v>42</v>
      </c>
      <c r="G243">
        <v>25</v>
      </c>
      <c r="H243">
        <v>3</v>
      </c>
      <c r="I243">
        <v>59</v>
      </c>
      <c r="J243">
        <v>11</v>
      </c>
      <c r="K243">
        <v>0</v>
      </c>
      <c r="L243">
        <v>0</v>
      </c>
      <c r="M243">
        <v>10</v>
      </c>
      <c r="N243" t="s">
        <v>402</v>
      </c>
      <c r="O243" t="s">
        <v>403</v>
      </c>
      <c r="P243" t="s">
        <v>221</v>
      </c>
      <c r="Q243" t="s">
        <v>404</v>
      </c>
      <c r="R243" t="s">
        <v>405</v>
      </c>
      <c r="S243">
        <v>64</v>
      </c>
      <c r="T243">
        <v>82</v>
      </c>
      <c r="U243">
        <f t="shared" si="13"/>
        <v>-5.73219711875991</v>
      </c>
      <c r="V243">
        <f t="shared" si="14"/>
        <v>-689.463208895828</v>
      </c>
      <c r="W243">
        <f t="shared" si="15"/>
        <v>-5732.19711875991</v>
      </c>
      <c r="X243">
        <f t="shared" si="16"/>
        <v>-2.31363492918063</v>
      </c>
      <c r="Y243">
        <v>25</v>
      </c>
    </row>
    <row r="244" spans="1:25">
      <c r="A244" s="1">
        <v>275</v>
      </c>
      <c r="B244" t="s">
        <v>131</v>
      </c>
      <c r="C244" t="s">
        <v>399</v>
      </c>
      <c r="D244" t="s">
        <v>400</v>
      </c>
      <c r="E244" t="s">
        <v>401</v>
      </c>
      <c r="F244" t="s">
        <v>42</v>
      </c>
      <c r="G244">
        <v>25</v>
      </c>
      <c r="H244">
        <v>3</v>
      </c>
      <c r="I244">
        <v>59</v>
      </c>
      <c r="J244">
        <v>11</v>
      </c>
      <c r="K244">
        <v>0</v>
      </c>
      <c r="L244">
        <v>0</v>
      </c>
      <c r="M244">
        <v>10</v>
      </c>
      <c r="N244" t="s">
        <v>402</v>
      </c>
      <c r="O244" t="s">
        <v>403</v>
      </c>
      <c r="P244" t="s">
        <v>221</v>
      </c>
      <c r="Q244" t="s">
        <v>404</v>
      </c>
      <c r="R244" t="s">
        <v>405</v>
      </c>
      <c r="S244">
        <v>31</v>
      </c>
      <c r="T244">
        <v>59</v>
      </c>
      <c r="U244">
        <f t="shared" si="13"/>
        <v>-3.35793294965446</v>
      </c>
      <c r="V244">
        <f t="shared" si="14"/>
        <v>-403.888976383745</v>
      </c>
      <c r="W244">
        <f t="shared" si="15"/>
        <v>-3357.93294965446</v>
      </c>
      <c r="X244">
        <f t="shared" si="16"/>
        <v>-1.35533213551592</v>
      </c>
      <c r="Y244">
        <v>25</v>
      </c>
    </row>
    <row r="245" spans="1:25">
      <c r="A245" s="1">
        <v>276</v>
      </c>
      <c r="B245" t="s">
        <v>398</v>
      </c>
      <c r="C245" t="s">
        <v>399</v>
      </c>
      <c r="D245" t="s">
        <v>400</v>
      </c>
      <c r="E245" t="s">
        <v>401</v>
      </c>
      <c r="F245" t="s">
        <v>42</v>
      </c>
      <c r="G245">
        <v>25</v>
      </c>
      <c r="H245">
        <v>3</v>
      </c>
      <c r="I245">
        <v>14</v>
      </c>
      <c r="J245">
        <v>11</v>
      </c>
      <c r="K245">
        <v>0</v>
      </c>
      <c r="L245">
        <v>0</v>
      </c>
      <c r="M245">
        <v>10</v>
      </c>
      <c r="N245" t="s">
        <v>214</v>
      </c>
      <c r="O245" t="s">
        <v>403</v>
      </c>
      <c r="P245" t="s">
        <v>221</v>
      </c>
      <c r="Q245" t="s">
        <v>404</v>
      </c>
      <c r="R245" t="s">
        <v>405</v>
      </c>
      <c r="S245">
        <v>67</v>
      </c>
      <c r="T245">
        <v>93</v>
      </c>
      <c r="U245">
        <f t="shared" si="13"/>
        <v>-8.21756135689019</v>
      </c>
      <c r="V245">
        <f t="shared" si="14"/>
        <v>-988.400451875173</v>
      </c>
      <c r="W245">
        <f t="shared" si="15"/>
        <v>-8217.56135689019</v>
      </c>
      <c r="X245">
        <f t="shared" si="16"/>
        <v>-3.31678003984957</v>
      </c>
      <c r="Y245">
        <v>25</v>
      </c>
    </row>
    <row r="246" spans="1:25">
      <c r="A246" s="1">
        <v>277</v>
      </c>
      <c r="B246" t="s">
        <v>398</v>
      </c>
      <c r="C246" t="s">
        <v>399</v>
      </c>
      <c r="D246" t="s">
        <v>400</v>
      </c>
      <c r="E246" t="s">
        <v>401</v>
      </c>
      <c r="F246" t="s">
        <v>42</v>
      </c>
      <c r="G246">
        <v>25</v>
      </c>
      <c r="H246">
        <v>3</v>
      </c>
      <c r="I246">
        <v>15</v>
      </c>
      <c r="J246">
        <v>11</v>
      </c>
      <c r="K246">
        <v>0</v>
      </c>
      <c r="L246">
        <v>0</v>
      </c>
      <c r="M246">
        <v>10</v>
      </c>
      <c r="N246" t="s">
        <v>416</v>
      </c>
      <c r="O246" t="s">
        <v>403</v>
      </c>
      <c r="P246" t="s">
        <v>221</v>
      </c>
      <c r="Q246" t="s">
        <v>404</v>
      </c>
      <c r="R246" t="s">
        <v>405</v>
      </c>
      <c r="S246">
        <v>67</v>
      </c>
      <c r="T246">
        <v>93</v>
      </c>
      <c r="U246">
        <f t="shared" si="13"/>
        <v>-8.21756135689019</v>
      </c>
      <c r="V246">
        <f t="shared" si="14"/>
        <v>-988.400451875173</v>
      </c>
      <c r="W246">
        <f t="shared" si="15"/>
        <v>-8217.56135689019</v>
      </c>
      <c r="X246">
        <f t="shared" si="16"/>
        <v>-3.31678003984957</v>
      </c>
      <c r="Y246">
        <v>25</v>
      </c>
    </row>
    <row r="247" spans="1:25">
      <c r="A247" s="1">
        <v>278</v>
      </c>
      <c r="B247" t="s">
        <v>398</v>
      </c>
      <c r="C247" t="s">
        <v>399</v>
      </c>
      <c r="D247" t="s">
        <v>400</v>
      </c>
      <c r="E247" t="s">
        <v>401</v>
      </c>
      <c r="F247" t="s">
        <v>42</v>
      </c>
      <c r="G247">
        <v>25</v>
      </c>
      <c r="H247">
        <v>3</v>
      </c>
      <c r="I247">
        <v>59</v>
      </c>
      <c r="J247">
        <v>30</v>
      </c>
      <c r="K247">
        <v>0</v>
      </c>
      <c r="L247">
        <v>0</v>
      </c>
      <c r="M247">
        <v>10</v>
      </c>
      <c r="N247" t="s">
        <v>402</v>
      </c>
      <c r="O247" t="s">
        <v>417</v>
      </c>
      <c r="P247" t="s">
        <v>221</v>
      </c>
      <c r="Q247" t="s">
        <v>404</v>
      </c>
      <c r="R247" t="s">
        <v>405</v>
      </c>
      <c r="S247">
        <v>39</v>
      </c>
      <c r="T247">
        <v>92</v>
      </c>
      <c r="U247">
        <f t="shared" si="13"/>
        <v>-7.87385718456282</v>
      </c>
      <c r="V247">
        <f t="shared" si="14"/>
        <v>-947.060041443688</v>
      </c>
      <c r="W247">
        <f t="shared" si="15"/>
        <v>-7873.85718456282</v>
      </c>
      <c r="X247">
        <f t="shared" si="16"/>
        <v>-3.17805383034795</v>
      </c>
      <c r="Y247">
        <v>25</v>
      </c>
    </row>
    <row r="248" spans="1:25">
      <c r="A248" s="1">
        <v>279</v>
      </c>
      <c r="B248" t="s">
        <v>398</v>
      </c>
      <c r="C248" t="s">
        <v>399</v>
      </c>
      <c r="D248" t="s">
        <v>400</v>
      </c>
      <c r="E248" t="s">
        <v>401</v>
      </c>
      <c r="F248" t="s">
        <v>418</v>
      </c>
      <c r="G248">
        <v>25</v>
      </c>
      <c r="H248">
        <v>9</v>
      </c>
      <c r="I248">
        <v>59</v>
      </c>
      <c r="J248">
        <v>11</v>
      </c>
      <c r="K248">
        <v>0</v>
      </c>
      <c r="L248">
        <v>0</v>
      </c>
      <c r="M248">
        <v>10</v>
      </c>
      <c r="N248" t="s">
        <v>402</v>
      </c>
      <c r="O248" t="s">
        <v>403</v>
      </c>
      <c r="P248" t="s">
        <v>221</v>
      </c>
      <c r="Q248" t="s">
        <v>404</v>
      </c>
      <c r="R248" t="s">
        <v>405</v>
      </c>
      <c r="S248">
        <v>92</v>
      </c>
      <c r="T248">
        <v>90</v>
      </c>
      <c r="U248">
        <f t="shared" si="13"/>
        <v>-7.29505957049136</v>
      </c>
      <c r="V248">
        <f t="shared" si="14"/>
        <v>-877.442815791599</v>
      </c>
      <c r="W248">
        <f t="shared" si="15"/>
        <v>-7295.05957049136</v>
      </c>
      <c r="X248">
        <f t="shared" si="16"/>
        <v>-2.94443897916644</v>
      </c>
      <c r="Y248">
        <v>25</v>
      </c>
    </row>
    <row r="249" spans="1:25">
      <c r="A249" s="1">
        <v>280</v>
      </c>
      <c r="B249" t="s">
        <v>398</v>
      </c>
      <c r="C249" t="s">
        <v>419</v>
      </c>
      <c r="D249" t="s">
        <v>420</v>
      </c>
      <c r="E249" t="s">
        <v>401</v>
      </c>
      <c r="F249" t="s">
        <v>42</v>
      </c>
      <c r="G249">
        <v>25</v>
      </c>
      <c r="H249">
        <v>3</v>
      </c>
      <c r="I249">
        <v>59</v>
      </c>
      <c r="J249">
        <v>11</v>
      </c>
      <c r="K249">
        <v>0</v>
      </c>
      <c r="L249">
        <v>0</v>
      </c>
      <c r="M249">
        <v>10</v>
      </c>
      <c r="N249" t="s">
        <v>402</v>
      </c>
      <c r="O249" t="s">
        <v>403</v>
      </c>
      <c r="P249" t="s">
        <v>221</v>
      </c>
      <c r="Q249" t="s">
        <v>404</v>
      </c>
      <c r="R249" t="s">
        <v>405</v>
      </c>
      <c r="S249">
        <v>62</v>
      </c>
      <c r="T249">
        <v>91</v>
      </c>
      <c r="U249">
        <f t="shared" si="13"/>
        <v>-7.5691034911523</v>
      </c>
      <c r="V249">
        <f t="shared" si="14"/>
        <v>-910.404557511703</v>
      </c>
      <c r="W249">
        <f t="shared" si="15"/>
        <v>-7569.1034911523</v>
      </c>
      <c r="X249">
        <f t="shared" si="16"/>
        <v>-3.05504885071041</v>
      </c>
      <c r="Y249">
        <v>25</v>
      </c>
    </row>
    <row r="250" spans="1:25">
      <c r="A250" s="1">
        <v>281</v>
      </c>
      <c r="B250" t="s">
        <v>398</v>
      </c>
      <c r="C250" t="s">
        <v>421</v>
      </c>
      <c r="D250" t="s">
        <v>422</v>
      </c>
      <c r="E250" t="s">
        <v>401</v>
      </c>
      <c r="F250" t="s">
        <v>42</v>
      </c>
      <c r="G250">
        <v>25</v>
      </c>
      <c r="H250">
        <v>3</v>
      </c>
      <c r="I250">
        <v>59</v>
      </c>
      <c r="J250">
        <v>11</v>
      </c>
      <c r="K250">
        <v>0</v>
      </c>
      <c r="L250">
        <v>0</v>
      </c>
      <c r="M250">
        <v>10</v>
      </c>
      <c r="N250" t="s">
        <v>402</v>
      </c>
      <c r="O250" t="s">
        <v>403</v>
      </c>
      <c r="P250" t="s">
        <v>221</v>
      </c>
      <c r="Q250" t="s">
        <v>404</v>
      </c>
      <c r="R250" t="s">
        <v>405</v>
      </c>
      <c r="S250">
        <v>85</v>
      </c>
      <c r="T250">
        <v>96</v>
      </c>
      <c r="U250">
        <f t="shared" si="13"/>
        <v>-9.64226499963054</v>
      </c>
      <c r="V250">
        <f t="shared" si="14"/>
        <v>-1159.76244883697</v>
      </c>
      <c r="W250">
        <f t="shared" si="15"/>
        <v>-9642.26499963054</v>
      </c>
      <c r="X250">
        <f t="shared" si="16"/>
        <v>-3.89182029811063</v>
      </c>
      <c r="Y250">
        <v>25</v>
      </c>
    </row>
    <row r="251" spans="1:25">
      <c r="A251" s="1">
        <v>282</v>
      </c>
      <c r="B251" t="s">
        <v>398</v>
      </c>
      <c r="C251" t="s">
        <v>423</v>
      </c>
      <c r="D251" t="s">
        <v>424</v>
      </c>
      <c r="E251" t="s">
        <v>401</v>
      </c>
      <c r="F251" t="s">
        <v>42</v>
      </c>
      <c r="G251">
        <v>25</v>
      </c>
      <c r="H251">
        <v>3</v>
      </c>
      <c r="I251">
        <v>59</v>
      </c>
      <c r="J251">
        <v>11</v>
      </c>
      <c r="K251">
        <v>0</v>
      </c>
      <c r="L251">
        <v>0</v>
      </c>
      <c r="M251">
        <v>10</v>
      </c>
      <c r="N251" t="s">
        <v>402</v>
      </c>
      <c r="O251" t="s">
        <v>403</v>
      </c>
      <c r="P251" t="s">
        <v>221</v>
      </c>
      <c r="Q251" t="s">
        <v>404</v>
      </c>
      <c r="R251" t="s">
        <v>405</v>
      </c>
      <c r="S251">
        <v>77</v>
      </c>
      <c r="T251">
        <v>92</v>
      </c>
      <c r="U251">
        <f t="shared" si="13"/>
        <v>-7.87385718456282</v>
      </c>
      <c r="V251">
        <f t="shared" si="14"/>
        <v>-947.060041443688</v>
      </c>
      <c r="W251">
        <f t="shared" si="15"/>
        <v>-7873.85718456282</v>
      </c>
      <c r="X251">
        <f t="shared" si="16"/>
        <v>-3.17805383034795</v>
      </c>
      <c r="Y251">
        <v>25</v>
      </c>
    </row>
    <row r="252" spans="1:25">
      <c r="A252" s="1">
        <v>283</v>
      </c>
      <c r="B252" t="s">
        <v>398</v>
      </c>
      <c r="C252" t="s">
        <v>425</v>
      </c>
      <c r="D252" t="s">
        <v>426</v>
      </c>
      <c r="E252" t="s">
        <v>427</v>
      </c>
      <c r="F252" t="s">
        <v>42</v>
      </c>
      <c r="G252">
        <v>25</v>
      </c>
      <c r="H252">
        <v>3</v>
      </c>
      <c r="I252">
        <v>59</v>
      </c>
      <c r="J252">
        <v>11</v>
      </c>
      <c r="K252">
        <v>0</v>
      </c>
      <c r="L252">
        <v>0</v>
      </c>
      <c r="M252">
        <v>10</v>
      </c>
      <c r="N252" t="s">
        <v>402</v>
      </c>
      <c r="O252" t="s">
        <v>403</v>
      </c>
      <c r="P252" t="s">
        <v>221</v>
      </c>
      <c r="Q252" t="s">
        <v>404</v>
      </c>
      <c r="R252" t="s">
        <v>405</v>
      </c>
      <c r="S252">
        <v>44</v>
      </c>
      <c r="T252">
        <v>90</v>
      </c>
      <c r="U252">
        <f t="shared" si="13"/>
        <v>-7.29505957049136</v>
      </c>
      <c r="V252">
        <f t="shared" si="14"/>
        <v>-877.442815791599</v>
      </c>
      <c r="W252">
        <f t="shared" si="15"/>
        <v>-7295.05957049136</v>
      </c>
      <c r="X252">
        <f t="shared" si="16"/>
        <v>-2.94443897916644</v>
      </c>
      <c r="Y252">
        <v>25</v>
      </c>
    </row>
    <row r="253" spans="1:25">
      <c r="A253" s="1">
        <v>284</v>
      </c>
      <c r="B253" t="s">
        <v>398</v>
      </c>
      <c r="C253" t="s">
        <v>428</v>
      </c>
      <c r="D253" t="s">
        <v>426</v>
      </c>
      <c r="E253" t="s">
        <v>429</v>
      </c>
      <c r="F253" t="s">
        <v>42</v>
      </c>
      <c r="G253">
        <v>25</v>
      </c>
      <c r="H253">
        <v>3</v>
      </c>
      <c r="I253">
        <v>59</v>
      </c>
      <c r="J253">
        <v>11</v>
      </c>
      <c r="K253">
        <v>0</v>
      </c>
      <c r="L253">
        <v>0</v>
      </c>
      <c r="M253">
        <v>10</v>
      </c>
      <c r="N253" t="s">
        <v>402</v>
      </c>
      <c r="O253" t="s">
        <v>403</v>
      </c>
      <c r="P253" t="s">
        <v>221</v>
      </c>
      <c r="Q253" t="s">
        <v>404</v>
      </c>
      <c r="R253" t="s">
        <v>405</v>
      </c>
      <c r="S253">
        <v>56</v>
      </c>
      <c r="T253">
        <v>90</v>
      </c>
      <c r="U253">
        <f t="shared" si="13"/>
        <v>-7.29505957049136</v>
      </c>
      <c r="V253">
        <f t="shared" si="14"/>
        <v>-877.442815791599</v>
      </c>
      <c r="W253">
        <f t="shared" si="15"/>
        <v>-7295.05957049136</v>
      </c>
      <c r="X253">
        <f t="shared" si="16"/>
        <v>-2.94443897916644</v>
      </c>
      <c r="Y253">
        <v>25</v>
      </c>
    </row>
    <row r="254" spans="1:25">
      <c r="A254" s="1">
        <v>285</v>
      </c>
      <c r="B254" t="s">
        <v>398</v>
      </c>
      <c r="C254" t="s">
        <v>430</v>
      </c>
      <c r="D254" t="s">
        <v>426</v>
      </c>
      <c r="E254" t="s">
        <v>431</v>
      </c>
      <c r="F254" t="s">
        <v>42</v>
      </c>
      <c r="G254">
        <v>25</v>
      </c>
      <c r="H254">
        <v>3</v>
      </c>
      <c r="I254">
        <v>59</v>
      </c>
      <c r="J254">
        <v>11</v>
      </c>
      <c r="K254">
        <v>0</v>
      </c>
      <c r="L254">
        <v>0</v>
      </c>
      <c r="M254">
        <v>10</v>
      </c>
      <c r="N254" t="s">
        <v>402</v>
      </c>
      <c r="O254" t="s">
        <v>403</v>
      </c>
      <c r="P254" t="s">
        <v>221</v>
      </c>
      <c r="Q254" t="s">
        <v>404</v>
      </c>
      <c r="R254" t="s">
        <v>405</v>
      </c>
      <c r="S254">
        <v>74</v>
      </c>
      <c r="T254">
        <v>91</v>
      </c>
      <c r="U254">
        <f t="shared" si="13"/>
        <v>-7.5691034911523</v>
      </c>
      <c r="V254">
        <f t="shared" si="14"/>
        <v>-910.404557511703</v>
      </c>
      <c r="W254">
        <f t="shared" si="15"/>
        <v>-7569.1034911523</v>
      </c>
      <c r="X254">
        <f t="shared" si="16"/>
        <v>-3.05504885071041</v>
      </c>
      <c r="Y254">
        <v>25</v>
      </c>
    </row>
    <row r="255" spans="1:25">
      <c r="A255" s="1">
        <v>286</v>
      </c>
      <c r="B255" t="s">
        <v>398</v>
      </c>
      <c r="C255" t="s">
        <v>432</v>
      </c>
      <c r="D255" t="s">
        <v>426</v>
      </c>
      <c r="E255" t="s">
        <v>433</v>
      </c>
      <c r="F255" t="s">
        <v>42</v>
      </c>
      <c r="G255">
        <v>25</v>
      </c>
      <c r="H255">
        <v>3</v>
      </c>
      <c r="I255">
        <v>59</v>
      </c>
      <c r="J255">
        <v>11</v>
      </c>
      <c r="K255">
        <v>0</v>
      </c>
      <c r="L255">
        <v>0</v>
      </c>
      <c r="M255">
        <v>10</v>
      </c>
      <c r="N255" t="s">
        <v>402</v>
      </c>
      <c r="O255" t="s">
        <v>403</v>
      </c>
      <c r="P255" t="s">
        <v>221</v>
      </c>
      <c r="Q255" t="s">
        <v>404</v>
      </c>
      <c r="R255" t="s">
        <v>405</v>
      </c>
      <c r="S255">
        <v>51</v>
      </c>
      <c r="T255">
        <v>94</v>
      </c>
      <c r="U255">
        <f t="shared" si="13"/>
        <v>-8.61228478317256</v>
      </c>
      <c r="V255">
        <f t="shared" si="14"/>
        <v>-1035.87740957091</v>
      </c>
      <c r="W255">
        <f t="shared" si="15"/>
        <v>-8612.28478317256</v>
      </c>
      <c r="X255">
        <f t="shared" si="16"/>
        <v>-3.47609868983527</v>
      </c>
      <c r="Y255">
        <v>25</v>
      </c>
    </row>
    <row r="256" spans="1:25">
      <c r="A256" s="1">
        <v>287</v>
      </c>
      <c r="B256" t="s">
        <v>398</v>
      </c>
      <c r="C256" t="s">
        <v>434</v>
      </c>
      <c r="D256" t="s">
        <v>426</v>
      </c>
      <c r="E256" t="s">
        <v>435</v>
      </c>
      <c r="F256" t="s">
        <v>42</v>
      </c>
      <c r="G256">
        <v>25</v>
      </c>
      <c r="H256">
        <v>3</v>
      </c>
      <c r="I256">
        <v>59</v>
      </c>
      <c r="J256">
        <v>11</v>
      </c>
      <c r="K256">
        <v>0</v>
      </c>
      <c r="L256">
        <v>0</v>
      </c>
      <c r="M256">
        <v>10</v>
      </c>
      <c r="N256" t="s">
        <v>402</v>
      </c>
      <c r="O256" t="s">
        <v>403</v>
      </c>
      <c r="P256" t="s">
        <v>221</v>
      </c>
      <c r="Q256" t="s">
        <v>404</v>
      </c>
      <c r="R256" t="s">
        <v>405</v>
      </c>
      <c r="S256">
        <v>59</v>
      </c>
      <c r="T256">
        <v>92</v>
      </c>
      <c r="U256">
        <f t="shared" si="13"/>
        <v>-7.87385718456282</v>
      </c>
      <c r="V256">
        <f t="shared" si="14"/>
        <v>-947.060041443688</v>
      </c>
      <c r="W256">
        <f t="shared" si="15"/>
        <v>-7873.85718456282</v>
      </c>
      <c r="X256">
        <f t="shared" si="16"/>
        <v>-3.17805383034795</v>
      </c>
      <c r="Y256">
        <v>25</v>
      </c>
    </row>
    <row r="257" spans="1:25">
      <c r="A257" s="1">
        <v>288</v>
      </c>
      <c r="B257" t="s">
        <v>398</v>
      </c>
      <c r="C257" t="s">
        <v>436</v>
      </c>
      <c r="D257" t="s">
        <v>437</v>
      </c>
      <c r="E257" t="s">
        <v>438</v>
      </c>
      <c r="F257" t="s">
        <v>42</v>
      </c>
      <c r="G257">
        <v>25</v>
      </c>
      <c r="H257">
        <v>3</v>
      </c>
      <c r="I257">
        <v>59</v>
      </c>
      <c r="J257">
        <v>11</v>
      </c>
      <c r="K257">
        <v>0</v>
      </c>
      <c r="L257">
        <v>0</v>
      </c>
      <c r="M257">
        <v>10</v>
      </c>
      <c r="N257" t="s">
        <v>402</v>
      </c>
      <c r="O257" t="s">
        <v>403</v>
      </c>
      <c r="P257" t="s">
        <v>221</v>
      </c>
      <c r="Q257" t="s">
        <v>404</v>
      </c>
      <c r="R257" t="s">
        <v>405</v>
      </c>
      <c r="S257">
        <v>46</v>
      </c>
      <c r="T257">
        <v>96</v>
      </c>
      <c r="U257">
        <f t="shared" si="13"/>
        <v>-9.64226499963054</v>
      </c>
      <c r="V257">
        <f t="shared" si="14"/>
        <v>-1159.76244883697</v>
      </c>
      <c r="W257">
        <f t="shared" si="15"/>
        <v>-9642.26499963054</v>
      </c>
      <c r="X257">
        <f t="shared" si="16"/>
        <v>-3.89182029811063</v>
      </c>
      <c r="Y257">
        <v>25</v>
      </c>
    </row>
    <row r="258" spans="1:25">
      <c r="A258" s="1">
        <v>289</v>
      </c>
      <c r="B258" t="s">
        <v>398</v>
      </c>
      <c r="C258" t="s">
        <v>439</v>
      </c>
      <c r="D258" t="s">
        <v>426</v>
      </c>
      <c r="E258" t="s">
        <v>440</v>
      </c>
      <c r="F258" t="s">
        <v>42</v>
      </c>
      <c r="G258">
        <v>25</v>
      </c>
      <c r="H258">
        <v>3</v>
      </c>
      <c r="I258">
        <v>59</v>
      </c>
      <c r="J258">
        <v>11</v>
      </c>
      <c r="K258">
        <v>0</v>
      </c>
      <c r="L258">
        <v>0</v>
      </c>
      <c r="M258">
        <v>10</v>
      </c>
      <c r="N258" t="s">
        <v>402</v>
      </c>
      <c r="O258" t="s">
        <v>403</v>
      </c>
      <c r="P258" t="s">
        <v>221</v>
      </c>
      <c r="Q258" t="s">
        <v>404</v>
      </c>
      <c r="R258" t="s">
        <v>405</v>
      </c>
      <c r="S258">
        <v>63</v>
      </c>
      <c r="T258">
        <v>92</v>
      </c>
      <c r="U258">
        <f t="shared" ref="U258:U321" si="17">LN((1+T258*0.01)/(1-T258*0.01))*-(G258+273)*8.314/1000</f>
        <v>-7.87385718456282</v>
      </c>
      <c r="V258">
        <f t="shared" ref="V258:V321" si="18">LN((1+T258*0.01)/(1-T258*0.01))*-(G258+273)</f>
        <v>-947.060041443688</v>
      </c>
      <c r="W258">
        <f t="shared" ref="W258:W321" si="19">LN((1+T258*0.01)/(1-T258*0.01))*-(G258+273)*8.314</f>
        <v>-7873.85718456282</v>
      </c>
      <c r="X258">
        <f t="shared" si="16"/>
        <v>-3.17805383034795</v>
      </c>
      <c r="Y258">
        <v>25</v>
      </c>
    </row>
    <row r="259" spans="1:25">
      <c r="A259" s="1">
        <v>290</v>
      </c>
      <c r="B259" t="s">
        <v>398</v>
      </c>
      <c r="C259" t="s">
        <v>441</v>
      </c>
      <c r="D259" t="s">
        <v>426</v>
      </c>
      <c r="E259" t="s">
        <v>442</v>
      </c>
      <c r="F259" t="s">
        <v>42</v>
      </c>
      <c r="G259">
        <v>25</v>
      </c>
      <c r="H259">
        <v>3</v>
      </c>
      <c r="I259">
        <v>59</v>
      </c>
      <c r="J259">
        <v>11</v>
      </c>
      <c r="K259">
        <v>0</v>
      </c>
      <c r="L259">
        <v>0</v>
      </c>
      <c r="M259">
        <v>10</v>
      </c>
      <c r="N259" t="s">
        <v>402</v>
      </c>
      <c r="O259" t="s">
        <v>403</v>
      </c>
      <c r="P259" t="s">
        <v>221</v>
      </c>
      <c r="Q259" t="s">
        <v>404</v>
      </c>
      <c r="R259" t="s">
        <v>405</v>
      </c>
      <c r="S259">
        <v>75</v>
      </c>
      <c r="T259">
        <v>93</v>
      </c>
      <c r="U259">
        <f t="shared" si="17"/>
        <v>-8.21756135689019</v>
      </c>
      <c r="V259">
        <f t="shared" si="18"/>
        <v>-988.400451875173</v>
      </c>
      <c r="W259">
        <f t="shared" si="19"/>
        <v>-8217.56135689019</v>
      </c>
      <c r="X259">
        <f t="shared" si="16"/>
        <v>-3.31678003984957</v>
      </c>
      <c r="Y259">
        <v>25</v>
      </c>
    </row>
    <row r="260" spans="1:25">
      <c r="A260" s="1">
        <v>291</v>
      </c>
      <c r="B260" t="s">
        <v>398</v>
      </c>
      <c r="C260" t="s">
        <v>443</v>
      </c>
      <c r="D260" t="s">
        <v>426</v>
      </c>
      <c r="E260" t="s">
        <v>444</v>
      </c>
      <c r="F260" t="s">
        <v>42</v>
      </c>
      <c r="G260">
        <v>25</v>
      </c>
      <c r="H260">
        <v>3</v>
      </c>
      <c r="I260">
        <v>59</v>
      </c>
      <c r="J260">
        <v>11</v>
      </c>
      <c r="K260">
        <v>0</v>
      </c>
      <c r="L260">
        <v>0</v>
      </c>
      <c r="M260">
        <v>10</v>
      </c>
      <c r="N260" t="s">
        <v>402</v>
      </c>
      <c r="O260" t="s">
        <v>403</v>
      </c>
      <c r="P260" t="s">
        <v>221</v>
      </c>
      <c r="Q260" t="s">
        <v>404</v>
      </c>
      <c r="R260" t="s">
        <v>405</v>
      </c>
      <c r="S260">
        <v>44</v>
      </c>
      <c r="T260">
        <v>90</v>
      </c>
      <c r="U260">
        <f t="shared" si="17"/>
        <v>-7.29505957049136</v>
      </c>
      <c r="V260">
        <f t="shared" si="18"/>
        <v>-877.442815791599</v>
      </c>
      <c r="W260">
        <f t="shared" si="19"/>
        <v>-7295.05957049136</v>
      </c>
      <c r="X260">
        <f t="shared" si="16"/>
        <v>-2.94443897916644</v>
      </c>
      <c r="Y260">
        <v>25</v>
      </c>
    </row>
    <row r="261" spans="1:25">
      <c r="A261" s="1">
        <v>292</v>
      </c>
      <c r="B261" t="s">
        <v>398</v>
      </c>
      <c r="C261" t="s">
        <v>445</v>
      </c>
      <c r="D261" t="s">
        <v>437</v>
      </c>
      <c r="E261" t="s">
        <v>446</v>
      </c>
      <c r="F261" t="s">
        <v>42</v>
      </c>
      <c r="G261">
        <v>25</v>
      </c>
      <c r="H261">
        <v>3</v>
      </c>
      <c r="I261">
        <v>59</v>
      </c>
      <c r="J261">
        <v>11</v>
      </c>
      <c r="K261">
        <v>0</v>
      </c>
      <c r="L261">
        <v>0</v>
      </c>
      <c r="M261">
        <v>10</v>
      </c>
      <c r="N261" t="s">
        <v>402</v>
      </c>
      <c r="O261" t="s">
        <v>403</v>
      </c>
      <c r="P261" t="s">
        <v>221</v>
      </c>
      <c r="Q261" t="s">
        <v>404</v>
      </c>
      <c r="R261" t="s">
        <v>405</v>
      </c>
      <c r="S261">
        <v>38</v>
      </c>
      <c r="T261">
        <v>93</v>
      </c>
      <c r="U261">
        <f t="shared" si="17"/>
        <v>-8.21756135689019</v>
      </c>
      <c r="V261">
        <f t="shared" si="18"/>
        <v>-988.400451875173</v>
      </c>
      <c r="W261">
        <f t="shared" si="19"/>
        <v>-8217.56135689019</v>
      </c>
      <c r="X261">
        <f t="shared" si="16"/>
        <v>-3.31678003984957</v>
      </c>
      <c r="Y261">
        <v>25</v>
      </c>
    </row>
    <row r="262" spans="1:25">
      <c r="A262" s="1">
        <v>293</v>
      </c>
      <c r="B262" t="s">
        <v>398</v>
      </c>
      <c r="C262" t="s">
        <v>447</v>
      </c>
      <c r="D262" t="s">
        <v>437</v>
      </c>
      <c r="E262" t="s">
        <v>448</v>
      </c>
      <c r="F262" t="s">
        <v>42</v>
      </c>
      <c r="G262">
        <v>25</v>
      </c>
      <c r="H262">
        <v>3</v>
      </c>
      <c r="I262">
        <v>59</v>
      </c>
      <c r="J262">
        <v>11</v>
      </c>
      <c r="K262">
        <v>0</v>
      </c>
      <c r="L262">
        <v>0</v>
      </c>
      <c r="M262">
        <v>10</v>
      </c>
      <c r="N262" t="s">
        <v>402</v>
      </c>
      <c r="O262" t="s">
        <v>403</v>
      </c>
      <c r="P262" t="s">
        <v>221</v>
      </c>
      <c r="Q262" t="s">
        <v>404</v>
      </c>
      <c r="R262" t="s">
        <v>405</v>
      </c>
      <c r="S262">
        <v>34</v>
      </c>
      <c r="T262">
        <v>93</v>
      </c>
      <c r="U262">
        <f t="shared" si="17"/>
        <v>-8.21756135689019</v>
      </c>
      <c r="V262">
        <f t="shared" si="18"/>
        <v>-988.400451875173</v>
      </c>
      <c r="W262">
        <f t="shared" si="19"/>
        <v>-8217.56135689019</v>
      </c>
      <c r="X262">
        <f t="shared" si="16"/>
        <v>-3.31678003984957</v>
      </c>
      <c r="Y262">
        <v>25</v>
      </c>
    </row>
    <row r="263" spans="1:25">
      <c r="A263" s="1">
        <v>294</v>
      </c>
      <c r="B263" t="s">
        <v>398</v>
      </c>
      <c r="C263" t="s">
        <v>449</v>
      </c>
      <c r="D263" t="s">
        <v>437</v>
      </c>
      <c r="E263" t="s">
        <v>450</v>
      </c>
      <c r="F263" t="s">
        <v>42</v>
      </c>
      <c r="G263">
        <v>25</v>
      </c>
      <c r="H263">
        <v>3</v>
      </c>
      <c r="I263">
        <v>59</v>
      </c>
      <c r="J263">
        <v>11</v>
      </c>
      <c r="K263">
        <v>0</v>
      </c>
      <c r="L263">
        <v>0</v>
      </c>
      <c r="M263">
        <v>10</v>
      </c>
      <c r="N263" t="s">
        <v>402</v>
      </c>
      <c r="O263" t="s">
        <v>403</v>
      </c>
      <c r="P263" t="s">
        <v>221</v>
      </c>
      <c r="Q263" t="s">
        <v>404</v>
      </c>
      <c r="R263" t="s">
        <v>405</v>
      </c>
      <c r="S263">
        <v>57</v>
      </c>
      <c r="T263">
        <v>92</v>
      </c>
      <c r="U263">
        <f t="shared" si="17"/>
        <v>-7.87385718456282</v>
      </c>
      <c r="V263">
        <f t="shared" si="18"/>
        <v>-947.060041443688</v>
      </c>
      <c r="W263">
        <f t="shared" si="19"/>
        <v>-7873.85718456282</v>
      </c>
      <c r="X263">
        <f t="shared" si="16"/>
        <v>-3.17805383034795</v>
      </c>
      <c r="Y263">
        <v>25</v>
      </c>
    </row>
    <row r="264" spans="1:25">
      <c r="A264" s="1">
        <v>295</v>
      </c>
      <c r="B264" t="s">
        <v>398</v>
      </c>
      <c r="C264" t="s">
        <v>451</v>
      </c>
      <c r="D264" t="s">
        <v>426</v>
      </c>
      <c r="E264" t="s">
        <v>452</v>
      </c>
      <c r="F264" t="s">
        <v>42</v>
      </c>
      <c r="G264">
        <v>25</v>
      </c>
      <c r="H264">
        <v>3</v>
      </c>
      <c r="I264">
        <v>59</v>
      </c>
      <c r="J264">
        <v>11</v>
      </c>
      <c r="K264">
        <v>0</v>
      </c>
      <c r="L264">
        <v>0</v>
      </c>
      <c r="M264">
        <v>10</v>
      </c>
      <c r="N264" t="s">
        <v>402</v>
      </c>
      <c r="O264" t="s">
        <v>403</v>
      </c>
      <c r="P264" t="s">
        <v>221</v>
      </c>
      <c r="Q264" t="s">
        <v>404</v>
      </c>
      <c r="R264" t="s">
        <v>405</v>
      </c>
      <c r="S264">
        <v>86</v>
      </c>
      <c r="T264">
        <v>90</v>
      </c>
      <c r="U264">
        <f t="shared" si="17"/>
        <v>-7.29505957049136</v>
      </c>
      <c r="V264">
        <f t="shared" si="18"/>
        <v>-877.442815791599</v>
      </c>
      <c r="W264">
        <f t="shared" si="19"/>
        <v>-7295.05957049136</v>
      </c>
      <c r="X264">
        <f t="shared" si="16"/>
        <v>-2.94443897916644</v>
      </c>
      <c r="Y264">
        <v>25</v>
      </c>
    </row>
    <row r="265" spans="1:25">
      <c r="A265" s="1">
        <v>296</v>
      </c>
      <c r="B265" t="s">
        <v>398</v>
      </c>
      <c r="C265" t="s">
        <v>453</v>
      </c>
      <c r="D265" t="s">
        <v>426</v>
      </c>
      <c r="E265" t="s">
        <v>454</v>
      </c>
      <c r="F265" t="s">
        <v>42</v>
      </c>
      <c r="G265">
        <v>25</v>
      </c>
      <c r="H265">
        <v>3</v>
      </c>
      <c r="I265">
        <v>59</v>
      </c>
      <c r="J265">
        <v>11</v>
      </c>
      <c r="K265">
        <v>0</v>
      </c>
      <c r="L265">
        <v>0</v>
      </c>
      <c r="M265">
        <v>10</v>
      </c>
      <c r="N265" t="s">
        <v>402</v>
      </c>
      <c r="O265" t="s">
        <v>403</v>
      </c>
      <c r="P265" t="s">
        <v>221</v>
      </c>
      <c r="Q265" t="s">
        <v>404</v>
      </c>
      <c r="R265" t="s">
        <v>405</v>
      </c>
      <c r="S265">
        <v>67</v>
      </c>
      <c r="T265">
        <v>93</v>
      </c>
      <c r="U265">
        <f t="shared" si="17"/>
        <v>-8.21756135689019</v>
      </c>
      <c r="V265">
        <f t="shared" si="18"/>
        <v>-988.400451875173</v>
      </c>
      <c r="W265">
        <f t="shared" si="19"/>
        <v>-8217.56135689019</v>
      </c>
      <c r="X265">
        <f t="shared" si="16"/>
        <v>-3.31678003984957</v>
      </c>
      <c r="Y265">
        <v>25</v>
      </c>
    </row>
    <row r="266" spans="1:25">
      <c r="A266" s="1">
        <v>297</v>
      </c>
      <c r="B266" t="s">
        <v>398</v>
      </c>
      <c r="C266" t="s">
        <v>455</v>
      </c>
      <c r="D266" t="s">
        <v>426</v>
      </c>
      <c r="E266" t="s">
        <v>456</v>
      </c>
      <c r="F266" t="s">
        <v>42</v>
      </c>
      <c r="G266">
        <v>25</v>
      </c>
      <c r="H266">
        <v>3</v>
      </c>
      <c r="I266">
        <v>59</v>
      </c>
      <c r="J266">
        <v>11</v>
      </c>
      <c r="K266">
        <v>0</v>
      </c>
      <c r="L266">
        <v>0</v>
      </c>
      <c r="M266">
        <v>10</v>
      </c>
      <c r="N266" t="s">
        <v>402</v>
      </c>
      <c r="O266" t="s">
        <v>403</v>
      </c>
      <c r="P266" t="s">
        <v>221</v>
      </c>
      <c r="Q266" t="s">
        <v>404</v>
      </c>
      <c r="R266" t="s">
        <v>405</v>
      </c>
      <c r="S266">
        <v>50</v>
      </c>
      <c r="T266">
        <v>91</v>
      </c>
      <c r="U266">
        <f t="shared" si="17"/>
        <v>-7.5691034911523</v>
      </c>
      <c r="V266">
        <f t="shared" si="18"/>
        <v>-910.404557511703</v>
      </c>
      <c r="W266">
        <f t="shared" si="19"/>
        <v>-7569.1034911523</v>
      </c>
      <c r="X266">
        <f t="shared" si="16"/>
        <v>-3.05504885071041</v>
      </c>
      <c r="Y266">
        <v>25</v>
      </c>
    </row>
    <row r="267" spans="1:25">
      <c r="A267" s="1">
        <v>298</v>
      </c>
      <c r="B267" t="s">
        <v>398</v>
      </c>
      <c r="C267" t="s">
        <v>457</v>
      </c>
      <c r="D267" t="s">
        <v>437</v>
      </c>
      <c r="E267" t="s">
        <v>458</v>
      </c>
      <c r="F267" t="s">
        <v>42</v>
      </c>
      <c r="G267">
        <v>25</v>
      </c>
      <c r="H267">
        <v>3</v>
      </c>
      <c r="I267">
        <v>59</v>
      </c>
      <c r="J267">
        <v>11</v>
      </c>
      <c r="K267">
        <v>0</v>
      </c>
      <c r="L267">
        <v>0</v>
      </c>
      <c r="M267">
        <v>10</v>
      </c>
      <c r="N267" t="s">
        <v>402</v>
      </c>
      <c r="O267" t="s">
        <v>403</v>
      </c>
      <c r="P267" t="s">
        <v>221</v>
      </c>
      <c r="Q267" t="s">
        <v>404</v>
      </c>
      <c r="R267" t="s">
        <v>405</v>
      </c>
      <c r="S267">
        <v>54</v>
      </c>
      <c r="T267">
        <v>94</v>
      </c>
      <c r="U267">
        <f t="shared" si="17"/>
        <v>-8.61228478317256</v>
      </c>
      <c r="V267">
        <f t="shared" si="18"/>
        <v>-1035.87740957091</v>
      </c>
      <c r="W267">
        <f t="shared" si="19"/>
        <v>-8612.28478317256</v>
      </c>
      <c r="X267">
        <f t="shared" si="16"/>
        <v>-3.47609868983527</v>
      </c>
      <c r="Y267">
        <v>25</v>
      </c>
    </row>
    <row r="268" spans="1:25">
      <c r="A268" s="1">
        <v>299</v>
      </c>
      <c r="B268" t="s">
        <v>398</v>
      </c>
      <c r="C268" t="s">
        <v>459</v>
      </c>
      <c r="D268" t="s">
        <v>426</v>
      </c>
      <c r="E268" t="s">
        <v>460</v>
      </c>
      <c r="F268" t="s">
        <v>42</v>
      </c>
      <c r="G268">
        <v>25</v>
      </c>
      <c r="H268">
        <v>3</v>
      </c>
      <c r="I268">
        <v>59</v>
      </c>
      <c r="J268">
        <v>11</v>
      </c>
      <c r="K268">
        <v>0</v>
      </c>
      <c r="L268">
        <v>0</v>
      </c>
      <c r="M268">
        <v>10</v>
      </c>
      <c r="N268" t="s">
        <v>402</v>
      </c>
      <c r="O268" t="s">
        <v>403</v>
      </c>
      <c r="P268" t="s">
        <v>221</v>
      </c>
      <c r="Q268" t="s">
        <v>404</v>
      </c>
      <c r="R268" t="s">
        <v>405</v>
      </c>
      <c r="S268">
        <v>48</v>
      </c>
      <c r="T268">
        <v>94</v>
      </c>
      <c r="U268">
        <f t="shared" si="17"/>
        <v>-8.61228478317256</v>
      </c>
      <c r="V268">
        <f t="shared" si="18"/>
        <v>-1035.87740957091</v>
      </c>
      <c r="W268">
        <f t="shared" si="19"/>
        <v>-8612.28478317256</v>
      </c>
      <c r="X268">
        <f t="shared" si="16"/>
        <v>-3.47609868983527</v>
      </c>
      <c r="Y268">
        <v>25</v>
      </c>
    </row>
    <row r="269" spans="1:25">
      <c r="A269" s="1">
        <v>300</v>
      </c>
      <c r="B269" t="s">
        <v>398</v>
      </c>
      <c r="C269" t="s">
        <v>461</v>
      </c>
      <c r="D269" t="s">
        <v>426</v>
      </c>
      <c r="E269" t="s">
        <v>462</v>
      </c>
      <c r="F269" t="s">
        <v>42</v>
      </c>
      <c r="G269">
        <v>25</v>
      </c>
      <c r="H269">
        <v>3</v>
      </c>
      <c r="I269">
        <v>59</v>
      </c>
      <c r="J269">
        <v>11</v>
      </c>
      <c r="K269">
        <v>0</v>
      </c>
      <c r="L269">
        <v>0</v>
      </c>
      <c r="M269">
        <v>10</v>
      </c>
      <c r="N269" t="s">
        <v>402</v>
      </c>
      <c r="O269" t="s">
        <v>403</v>
      </c>
      <c r="P269" t="s">
        <v>221</v>
      </c>
      <c r="Q269" t="s">
        <v>404</v>
      </c>
      <c r="R269" t="s">
        <v>405</v>
      </c>
      <c r="S269">
        <v>75</v>
      </c>
      <c r="T269">
        <v>92</v>
      </c>
      <c r="U269">
        <f t="shared" si="17"/>
        <v>-7.87385718456282</v>
      </c>
      <c r="V269">
        <f t="shared" si="18"/>
        <v>-947.060041443688</v>
      </c>
      <c r="W269">
        <f t="shared" si="19"/>
        <v>-7873.85718456282</v>
      </c>
      <c r="X269">
        <f t="shared" si="16"/>
        <v>-3.17805383034795</v>
      </c>
      <c r="Y269">
        <v>25</v>
      </c>
    </row>
    <row r="270" spans="1:25">
      <c r="A270" s="1">
        <v>301</v>
      </c>
      <c r="B270" t="s">
        <v>398</v>
      </c>
      <c r="C270" t="s">
        <v>463</v>
      </c>
      <c r="D270" t="s">
        <v>426</v>
      </c>
      <c r="E270" t="s">
        <v>464</v>
      </c>
      <c r="F270" t="s">
        <v>42</v>
      </c>
      <c r="G270">
        <v>25</v>
      </c>
      <c r="H270">
        <v>3</v>
      </c>
      <c r="I270">
        <v>59</v>
      </c>
      <c r="J270">
        <v>11</v>
      </c>
      <c r="K270">
        <v>0</v>
      </c>
      <c r="L270">
        <v>0</v>
      </c>
      <c r="M270">
        <v>10</v>
      </c>
      <c r="N270" t="s">
        <v>402</v>
      </c>
      <c r="O270" t="s">
        <v>403</v>
      </c>
      <c r="P270" t="s">
        <v>221</v>
      </c>
      <c r="Q270" t="s">
        <v>404</v>
      </c>
      <c r="R270" t="s">
        <v>405</v>
      </c>
      <c r="S270">
        <v>42</v>
      </c>
      <c r="T270">
        <v>90</v>
      </c>
      <c r="U270">
        <f t="shared" si="17"/>
        <v>-7.29505957049136</v>
      </c>
      <c r="V270">
        <f t="shared" si="18"/>
        <v>-877.442815791599</v>
      </c>
      <c r="W270">
        <f t="shared" si="19"/>
        <v>-7295.05957049136</v>
      </c>
      <c r="X270">
        <f t="shared" si="16"/>
        <v>-2.94443897916644</v>
      </c>
      <c r="Y270">
        <v>25</v>
      </c>
    </row>
    <row r="271" spans="1:25">
      <c r="A271" s="1">
        <v>302</v>
      </c>
      <c r="B271" t="s">
        <v>398</v>
      </c>
      <c r="C271" t="s">
        <v>465</v>
      </c>
      <c r="D271" t="s">
        <v>437</v>
      </c>
      <c r="E271" t="s">
        <v>466</v>
      </c>
      <c r="F271" t="s">
        <v>42</v>
      </c>
      <c r="G271">
        <v>25</v>
      </c>
      <c r="H271">
        <v>3</v>
      </c>
      <c r="I271">
        <v>59</v>
      </c>
      <c r="J271">
        <v>11</v>
      </c>
      <c r="K271">
        <v>0</v>
      </c>
      <c r="L271">
        <v>0</v>
      </c>
      <c r="M271">
        <v>10</v>
      </c>
      <c r="N271" t="s">
        <v>402</v>
      </c>
      <c r="O271" t="s">
        <v>403</v>
      </c>
      <c r="P271" t="s">
        <v>221</v>
      </c>
      <c r="Q271" t="s">
        <v>404</v>
      </c>
      <c r="R271" t="s">
        <v>405</v>
      </c>
      <c r="S271">
        <v>59</v>
      </c>
      <c r="T271">
        <v>93</v>
      </c>
      <c r="U271">
        <f t="shared" si="17"/>
        <v>-8.21756135689019</v>
      </c>
      <c r="V271">
        <f t="shared" si="18"/>
        <v>-988.400451875173</v>
      </c>
      <c r="W271">
        <f t="shared" si="19"/>
        <v>-8217.56135689019</v>
      </c>
      <c r="X271">
        <f t="shared" si="16"/>
        <v>-3.31678003984957</v>
      </c>
      <c r="Y271">
        <v>25</v>
      </c>
    </row>
    <row r="272" spans="1:25">
      <c r="A272" s="1">
        <v>303</v>
      </c>
      <c r="B272" t="s">
        <v>398</v>
      </c>
      <c r="C272" t="s">
        <v>467</v>
      </c>
      <c r="D272" t="s">
        <v>437</v>
      </c>
      <c r="E272" t="s">
        <v>468</v>
      </c>
      <c r="F272" t="s">
        <v>42</v>
      </c>
      <c r="G272">
        <v>25</v>
      </c>
      <c r="H272">
        <v>3</v>
      </c>
      <c r="I272">
        <v>59</v>
      </c>
      <c r="J272">
        <v>11</v>
      </c>
      <c r="K272">
        <v>0</v>
      </c>
      <c r="L272">
        <v>0</v>
      </c>
      <c r="M272">
        <v>10</v>
      </c>
      <c r="N272" t="s">
        <v>402</v>
      </c>
      <c r="O272" t="s">
        <v>403</v>
      </c>
      <c r="P272" t="s">
        <v>221</v>
      </c>
      <c r="Q272" t="s">
        <v>404</v>
      </c>
      <c r="R272" t="s">
        <v>405</v>
      </c>
      <c r="S272">
        <v>50</v>
      </c>
      <c r="T272">
        <v>90</v>
      </c>
      <c r="U272">
        <f t="shared" si="17"/>
        <v>-7.29505957049136</v>
      </c>
      <c r="V272">
        <f t="shared" si="18"/>
        <v>-877.442815791599</v>
      </c>
      <c r="W272">
        <f t="shared" si="19"/>
        <v>-7295.05957049136</v>
      </c>
      <c r="X272">
        <f t="shared" si="16"/>
        <v>-2.94443897916644</v>
      </c>
      <c r="Y272">
        <v>25</v>
      </c>
    </row>
    <row r="273" spans="1:25">
      <c r="A273" s="1">
        <v>304</v>
      </c>
      <c r="B273" t="s">
        <v>398</v>
      </c>
      <c r="C273" t="s">
        <v>469</v>
      </c>
      <c r="D273" t="s">
        <v>437</v>
      </c>
      <c r="E273" t="s">
        <v>470</v>
      </c>
      <c r="F273" t="s">
        <v>42</v>
      </c>
      <c r="G273">
        <v>25</v>
      </c>
      <c r="H273">
        <v>3</v>
      </c>
      <c r="I273">
        <v>59</v>
      </c>
      <c r="J273">
        <v>11</v>
      </c>
      <c r="K273">
        <v>0</v>
      </c>
      <c r="L273">
        <v>0</v>
      </c>
      <c r="M273">
        <v>10</v>
      </c>
      <c r="N273" t="s">
        <v>402</v>
      </c>
      <c r="O273" t="s">
        <v>403</v>
      </c>
      <c r="P273" t="s">
        <v>221</v>
      </c>
      <c r="Q273" t="s">
        <v>404</v>
      </c>
      <c r="R273" t="s">
        <v>405</v>
      </c>
      <c r="S273">
        <v>59</v>
      </c>
      <c r="T273">
        <v>92</v>
      </c>
      <c r="U273">
        <f t="shared" si="17"/>
        <v>-7.87385718456282</v>
      </c>
      <c r="V273">
        <f t="shared" si="18"/>
        <v>-947.060041443688</v>
      </c>
      <c r="W273">
        <f t="shared" si="19"/>
        <v>-7873.85718456282</v>
      </c>
      <c r="X273">
        <f t="shared" si="16"/>
        <v>-3.17805383034795</v>
      </c>
      <c r="Y273">
        <v>25</v>
      </c>
    </row>
    <row r="274" spans="1:25">
      <c r="A274" s="1">
        <v>305</v>
      </c>
      <c r="B274" t="s">
        <v>398</v>
      </c>
      <c r="C274" t="s">
        <v>471</v>
      </c>
      <c r="D274" t="s">
        <v>426</v>
      </c>
      <c r="E274" t="s">
        <v>472</v>
      </c>
      <c r="F274" t="s">
        <v>42</v>
      </c>
      <c r="G274">
        <v>25</v>
      </c>
      <c r="H274">
        <v>3</v>
      </c>
      <c r="I274">
        <v>59</v>
      </c>
      <c r="J274">
        <v>11</v>
      </c>
      <c r="K274">
        <v>0</v>
      </c>
      <c r="L274">
        <v>0</v>
      </c>
      <c r="M274">
        <v>10</v>
      </c>
      <c r="N274" t="s">
        <v>402</v>
      </c>
      <c r="O274" t="s">
        <v>403</v>
      </c>
      <c r="P274" t="s">
        <v>221</v>
      </c>
      <c r="Q274" t="s">
        <v>404</v>
      </c>
      <c r="R274" t="s">
        <v>405</v>
      </c>
      <c r="S274">
        <v>61</v>
      </c>
      <c r="T274">
        <v>88</v>
      </c>
      <c r="U274">
        <f t="shared" si="17"/>
        <v>-6.81712684860397</v>
      </c>
      <c r="V274">
        <f t="shared" si="18"/>
        <v>-819.957523286501</v>
      </c>
      <c r="W274">
        <f t="shared" si="19"/>
        <v>-6817.12684860397</v>
      </c>
      <c r="X274">
        <f t="shared" si="16"/>
        <v>-2.75153531304195</v>
      </c>
      <c r="Y274">
        <v>25</v>
      </c>
    </row>
    <row r="275" spans="1:25">
      <c r="A275" s="1">
        <v>306</v>
      </c>
      <c r="B275" t="s">
        <v>398</v>
      </c>
      <c r="C275" t="s">
        <v>473</v>
      </c>
      <c r="D275" t="s">
        <v>426</v>
      </c>
      <c r="E275" t="s">
        <v>474</v>
      </c>
      <c r="F275" t="s">
        <v>42</v>
      </c>
      <c r="G275">
        <v>25</v>
      </c>
      <c r="H275">
        <v>3</v>
      </c>
      <c r="I275">
        <v>59</v>
      </c>
      <c r="J275">
        <v>11</v>
      </c>
      <c r="K275">
        <v>0</v>
      </c>
      <c r="L275">
        <v>0</v>
      </c>
      <c r="M275">
        <v>10</v>
      </c>
      <c r="N275" t="s">
        <v>402</v>
      </c>
      <c r="O275" t="s">
        <v>403</v>
      </c>
      <c r="P275" t="s">
        <v>221</v>
      </c>
      <c r="Q275" t="s">
        <v>404</v>
      </c>
      <c r="R275" t="s">
        <v>405</v>
      </c>
      <c r="S275">
        <v>47</v>
      </c>
      <c r="T275">
        <v>90</v>
      </c>
      <c r="U275">
        <f t="shared" si="17"/>
        <v>-7.29505957049136</v>
      </c>
      <c r="V275">
        <f t="shared" si="18"/>
        <v>-877.442815791599</v>
      </c>
      <c r="W275">
        <f t="shared" si="19"/>
        <v>-7295.05957049136</v>
      </c>
      <c r="X275">
        <f t="shared" si="16"/>
        <v>-2.94443897916644</v>
      </c>
      <c r="Y275">
        <v>25</v>
      </c>
    </row>
    <row r="276" spans="1:25">
      <c r="A276" s="1">
        <v>307</v>
      </c>
      <c r="B276" t="s">
        <v>398</v>
      </c>
      <c r="C276" t="s">
        <v>475</v>
      </c>
      <c r="D276" t="s">
        <v>476</v>
      </c>
      <c r="E276" t="s">
        <v>477</v>
      </c>
      <c r="F276" t="s">
        <v>42</v>
      </c>
      <c r="G276">
        <v>25</v>
      </c>
      <c r="H276">
        <v>3</v>
      </c>
      <c r="I276">
        <v>59</v>
      </c>
      <c r="J276">
        <v>11</v>
      </c>
      <c r="K276">
        <v>0</v>
      </c>
      <c r="L276">
        <v>0</v>
      </c>
      <c r="M276">
        <v>10</v>
      </c>
      <c r="N276" t="s">
        <v>402</v>
      </c>
      <c r="O276" t="s">
        <v>403</v>
      </c>
      <c r="P276" t="s">
        <v>221</v>
      </c>
      <c r="Q276" t="s">
        <v>404</v>
      </c>
      <c r="R276" t="s">
        <v>405</v>
      </c>
      <c r="S276">
        <v>92</v>
      </c>
      <c r="T276">
        <v>98</v>
      </c>
      <c r="U276">
        <f t="shared" si="17"/>
        <v>-11.3847402773377</v>
      </c>
      <c r="V276">
        <f t="shared" si="18"/>
        <v>-1369.34571534011</v>
      </c>
      <c r="W276">
        <f t="shared" si="19"/>
        <v>-11384.7402773377</v>
      </c>
      <c r="X276">
        <f t="shared" si="16"/>
        <v>-4.59511985013459</v>
      </c>
      <c r="Y276">
        <v>25</v>
      </c>
    </row>
    <row r="277" spans="1:25">
      <c r="A277" s="1">
        <v>308</v>
      </c>
      <c r="B277" t="s">
        <v>398</v>
      </c>
      <c r="C277" t="s">
        <v>478</v>
      </c>
      <c r="D277" t="s">
        <v>479</v>
      </c>
      <c r="E277" t="s">
        <v>477</v>
      </c>
      <c r="F277" t="s">
        <v>42</v>
      </c>
      <c r="G277">
        <v>25</v>
      </c>
      <c r="H277">
        <v>3</v>
      </c>
      <c r="I277">
        <v>59</v>
      </c>
      <c r="J277">
        <v>11</v>
      </c>
      <c r="K277">
        <v>0</v>
      </c>
      <c r="L277">
        <v>0</v>
      </c>
      <c r="M277">
        <v>10</v>
      </c>
      <c r="N277" t="s">
        <v>402</v>
      </c>
      <c r="O277" t="s">
        <v>403</v>
      </c>
      <c r="P277" t="s">
        <v>221</v>
      </c>
      <c r="Q277" t="s">
        <v>404</v>
      </c>
      <c r="R277" t="s">
        <v>405</v>
      </c>
      <c r="S277">
        <v>84</v>
      </c>
      <c r="T277">
        <v>98</v>
      </c>
      <c r="U277">
        <f t="shared" si="17"/>
        <v>-11.3847402773377</v>
      </c>
      <c r="V277">
        <f t="shared" si="18"/>
        <v>-1369.34571534011</v>
      </c>
      <c r="W277">
        <f t="shared" si="19"/>
        <v>-11384.7402773377</v>
      </c>
      <c r="X277">
        <f t="shared" si="16"/>
        <v>-4.59511985013459</v>
      </c>
      <c r="Y277">
        <v>25</v>
      </c>
    </row>
    <row r="278" spans="1:25">
      <c r="A278" s="1">
        <v>309</v>
      </c>
      <c r="B278" t="s">
        <v>398</v>
      </c>
      <c r="C278" t="s">
        <v>480</v>
      </c>
      <c r="D278" t="s">
        <v>481</v>
      </c>
      <c r="E278" t="s">
        <v>477</v>
      </c>
      <c r="F278" t="s">
        <v>42</v>
      </c>
      <c r="G278">
        <v>25</v>
      </c>
      <c r="H278">
        <v>3</v>
      </c>
      <c r="I278">
        <v>59</v>
      </c>
      <c r="J278">
        <v>11</v>
      </c>
      <c r="K278">
        <v>0</v>
      </c>
      <c r="L278">
        <v>0</v>
      </c>
      <c r="M278">
        <v>10</v>
      </c>
      <c r="N278" t="s">
        <v>402</v>
      </c>
      <c r="O278" t="s">
        <v>403</v>
      </c>
      <c r="P278" t="s">
        <v>221</v>
      </c>
      <c r="Q278" t="s">
        <v>404</v>
      </c>
      <c r="R278" t="s">
        <v>405</v>
      </c>
      <c r="S278">
        <v>71</v>
      </c>
      <c r="T278">
        <v>99</v>
      </c>
      <c r="U278">
        <f t="shared" si="17"/>
        <v>-13.1145438212023</v>
      </c>
      <c r="V278">
        <f t="shared" si="18"/>
        <v>-1577.4048377679</v>
      </c>
      <c r="W278">
        <f t="shared" si="19"/>
        <v>-13114.5438212023</v>
      </c>
      <c r="X278">
        <f t="shared" si="16"/>
        <v>-5.29330482472449</v>
      </c>
      <c r="Y278">
        <v>25</v>
      </c>
    </row>
    <row r="279" spans="1:25">
      <c r="A279" s="1">
        <v>310</v>
      </c>
      <c r="B279" t="s">
        <v>398</v>
      </c>
      <c r="C279" t="s">
        <v>482</v>
      </c>
      <c r="D279" t="s">
        <v>483</v>
      </c>
      <c r="E279" t="s">
        <v>477</v>
      </c>
      <c r="F279" t="s">
        <v>42</v>
      </c>
      <c r="G279">
        <v>25</v>
      </c>
      <c r="H279">
        <v>3</v>
      </c>
      <c r="I279">
        <v>59</v>
      </c>
      <c r="J279">
        <v>11</v>
      </c>
      <c r="K279">
        <v>0</v>
      </c>
      <c r="L279">
        <v>0</v>
      </c>
      <c r="M279">
        <v>10</v>
      </c>
      <c r="N279" t="s">
        <v>402</v>
      </c>
      <c r="O279" t="s">
        <v>403</v>
      </c>
      <c r="P279" t="s">
        <v>221</v>
      </c>
      <c r="Q279" t="s">
        <v>404</v>
      </c>
      <c r="R279" t="s">
        <v>405</v>
      </c>
      <c r="S279">
        <v>56</v>
      </c>
      <c r="T279">
        <v>96</v>
      </c>
      <c r="U279">
        <f t="shared" si="17"/>
        <v>-9.64226499963054</v>
      </c>
      <c r="V279">
        <f t="shared" si="18"/>
        <v>-1159.76244883697</v>
      </c>
      <c r="W279">
        <f t="shared" si="19"/>
        <v>-9642.26499963054</v>
      </c>
      <c r="X279">
        <f t="shared" si="16"/>
        <v>-3.89182029811063</v>
      </c>
      <c r="Y279">
        <v>25</v>
      </c>
    </row>
    <row r="280" spans="1:25">
      <c r="A280" s="1">
        <v>311</v>
      </c>
      <c r="B280" t="s">
        <v>398</v>
      </c>
      <c r="C280" t="s">
        <v>484</v>
      </c>
      <c r="D280" t="s">
        <v>485</v>
      </c>
      <c r="E280" t="s">
        <v>477</v>
      </c>
      <c r="F280" t="s">
        <v>42</v>
      </c>
      <c r="G280">
        <v>25</v>
      </c>
      <c r="H280">
        <v>3</v>
      </c>
      <c r="I280">
        <v>59</v>
      </c>
      <c r="J280">
        <v>11</v>
      </c>
      <c r="K280">
        <v>0</v>
      </c>
      <c r="L280">
        <v>0</v>
      </c>
      <c r="M280">
        <v>10</v>
      </c>
      <c r="N280" t="s">
        <v>402</v>
      </c>
      <c r="O280" t="s">
        <v>403</v>
      </c>
      <c r="P280" t="s">
        <v>221</v>
      </c>
      <c r="Q280" t="s">
        <v>404</v>
      </c>
      <c r="R280" t="s">
        <v>405</v>
      </c>
      <c r="S280">
        <v>67</v>
      </c>
      <c r="T280">
        <v>90</v>
      </c>
      <c r="U280">
        <f t="shared" si="17"/>
        <v>-7.29505957049136</v>
      </c>
      <c r="V280">
        <f t="shared" si="18"/>
        <v>-877.442815791599</v>
      </c>
      <c r="W280">
        <f t="shared" si="19"/>
        <v>-7295.05957049136</v>
      </c>
      <c r="X280">
        <f t="shared" si="16"/>
        <v>-2.94443897916644</v>
      </c>
      <c r="Y280">
        <v>25</v>
      </c>
    </row>
    <row r="281" spans="1:25">
      <c r="A281" s="1">
        <v>312</v>
      </c>
      <c r="B281" t="s">
        <v>398</v>
      </c>
      <c r="C281" t="s">
        <v>486</v>
      </c>
      <c r="D281" t="s">
        <v>487</v>
      </c>
      <c r="E281" t="s">
        <v>477</v>
      </c>
      <c r="F281" t="s">
        <v>42</v>
      </c>
      <c r="G281">
        <v>25</v>
      </c>
      <c r="H281">
        <v>3</v>
      </c>
      <c r="I281">
        <v>59</v>
      </c>
      <c r="J281">
        <v>11</v>
      </c>
      <c r="K281">
        <v>0</v>
      </c>
      <c r="L281">
        <v>0</v>
      </c>
      <c r="M281">
        <v>10</v>
      </c>
      <c r="N281" t="s">
        <v>402</v>
      </c>
      <c r="O281" t="s">
        <v>403</v>
      </c>
      <c r="P281" t="s">
        <v>221</v>
      </c>
      <c r="Q281" t="s">
        <v>404</v>
      </c>
      <c r="R281" t="s">
        <v>405</v>
      </c>
      <c r="S281">
        <v>89</v>
      </c>
      <c r="T281">
        <v>98</v>
      </c>
      <c r="U281">
        <f t="shared" si="17"/>
        <v>-11.3847402773377</v>
      </c>
      <c r="V281">
        <f t="shared" si="18"/>
        <v>-1369.34571534011</v>
      </c>
      <c r="W281">
        <f t="shared" si="19"/>
        <v>-11384.7402773377</v>
      </c>
      <c r="X281">
        <f t="shared" si="16"/>
        <v>-4.59511985013459</v>
      </c>
      <c r="Y281">
        <v>25</v>
      </c>
    </row>
    <row r="282" spans="1:25">
      <c r="A282" s="1">
        <v>313</v>
      </c>
      <c r="B282" t="s">
        <v>398</v>
      </c>
      <c r="C282" t="s">
        <v>488</v>
      </c>
      <c r="D282" t="s">
        <v>489</v>
      </c>
      <c r="E282" t="s">
        <v>477</v>
      </c>
      <c r="F282" t="s">
        <v>42</v>
      </c>
      <c r="G282">
        <v>25</v>
      </c>
      <c r="H282">
        <v>3</v>
      </c>
      <c r="I282">
        <v>59</v>
      </c>
      <c r="J282">
        <v>11</v>
      </c>
      <c r="K282">
        <v>0</v>
      </c>
      <c r="L282">
        <v>0</v>
      </c>
      <c r="M282">
        <v>10</v>
      </c>
      <c r="N282" t="s">
        <v>402</v>
      </c>
      <c r="O282" t="s">
        <v>403</v>
      </c>
      <c r="P282" t="s">
        <v>221</v>
      </c>
      <c r="Q282" t="s">
        <v>404</v>
      </c>
      <c r="R282" t="s">
        <v>405</v>
      </c>
      <c r="S282">
        <v>86</v>
      </c>
      <c r="T282">
        <v>95</v>
      </c>
      <c r="U282">
        <f t="shared" si="17"/>
        <v>-9.07673775472472</v>
      </c>
      <c r="V282">
        <f t="shared" si="18"/>
        <v>-1091.74137054663</v>
      </c>
      <c r="W282">
        <f t="shared" si="19"/>
        <v>-9076.73775472472</v>
      </c>
      <c r="X282">
        <f t="shared" si="16"/>
        <v>-3.66356164612965</v>
      </c>
      <c r="Y282">
        <v>25</v>
      </c>
    </row>
    <row r="283" spans="1:25">
      <c r="A283" s="1">
        <v>314</v>
      </c>
      <c r="B283" t="s">
        <v>398</v>
      </c>
      <c r="C283" t="s">
        <v>490</v>
      </c>
      <c r="D283" t="s">
        <v>491</v>
      </c>
      <c r="E283" t="s">
        <v>477</v>
      </c>
      <c r="F283" t="s">
        <v>42</v>
      </c>
      <c r="G283">
        <v>25</v>
      </c>
      <c r="H283">
        <v>3</v>
      </c>
      <c r="I283">
        <v>59</v>
      </c>
      <c r="J283">
        <v>11</v>
      </c>
      <c r="K283">
        <v>0</v>
      </c>
      <c r="L283">
        <v>0</v>
      </c>
      <c r="M283">
        <v>10</v>
      </c>
      <c r="N283" t="s">
        <v>402</v>
      </c>
      <c r="O283" t="s">
        <v>403</v>
      </c>
      <c r="P283" t="s">
        <v>221</v>
      </c>
      <c r="Q283" t="s">
        <v>404</v>
      </c>
      <c r="R283" t="s">
        <v>405</v>
      </c>
      <c r="S283">
        <v>45</v>
      </c>
      <c r="T283">
        <v>98</v>
      </c>
      <c r="U283">
        <f t="shared" si="17"/>
        <v>-11.3847402773377</v>
      </c>
      <c r="V283">
        <f t="shared" si="18"/>
        <v>-1369.34571534011</v>
      </c>
      <c r="W283">
        <f t="shared" si="19"/>
        <v>-11384.7402773377</v>
      </c>
      <c r="X283">
        <f t="shared" si="16"/>
        <v>-4.59511985013459</v>
      </c>
      <c r="Y283">
        <v>25</v>
      </c>
    </row>
    <row r="284" spans="1:25">
      <c r="A284" s="1">
        <v>315</v>
      </c>
      <c r="B284" t="s">
        <v>398</v>
      </c>
      <c r="C284" t="s">
        <v>492</v>
      </c>
      <c r="D284" t="s">
        <v>493</v>
      </c>
      <c r="E284" t="s">
        <v>477</v>
      </c>
      <c r="F284" t="s">
        <v>42</v>
      </c>
      <c r="G284">
        <v>25</v>
      </c>
      <c r="H284">
        <v>3</v>
      </c>
      <c r="I284">
        <v>59</v>
      </c>
      <c r="J284">
        <v>11</v>
      </c>
      <c r="K284">
        <v>0</v>
      </c>
      <c r="L284">
        <v>0</v>
      </c>
      <c r="M284">
        <v>10</v>
      </c>
      <c r="N284" t="s">
        <v>402</v>
      </c>
      <c r="O284" t="s">
        <v>403</v>
      </c>
      <c r="P284" t="s">
        <v>221</v>
      </c>
      <c r="Q284" t="s">
        <v>404</v>
      </c>
      <c r="R284" t="s">
        <v>405</v>
      </c>
      <c r="S284">
        <v>48</v>
      </c>
      <c r="T284">
        <v>96</v>
      </c>
      <c r="U284">
        <f t="shared" si="17"/>
        <v>-9.64226499963054</v>
      </c>
      <c r="V284">
        <f t="shared" si="18"/>
        <v>-1159.76244883697</v>
      </c>
      <c r="W284">
        <f t="shared" si="19"/>
        <v>-9642.26499963054</v>
      </c>
      <c r="X284">
        <f t="shared" si="16"/>
        <v>-3.89182029811063</v>
      </c>
      <c r="Y284">
        <v>25</v>
      </c>
    </row>
    <row r="285" spans="1:25">
      <c r="A285" s="1">
        <v>316</v>
      </c>
      <c r="B285" t="s">
        <v>398</v>
      </c>
      <c r="C285" t="s">
        <v>494</v>
      </c>
      <c r="D285" t="s">
        <v>495</v>
      </c>
      <c r="E285" t="s">
        <v>477</v>
      </c>
      <c r="F285" t="s">
        <v>42</v>
      </c>
      <c r="G285">
        <v>25</v>
      </c>
      <c r="H285">
        <v>3</v>
      </c>
      <c r="I285">
        <v>59</v>
      </c>
      <c r="J285">
        <v>11</v>
      </c>
      <c r="K285">
        <v>0</v>
      </c>
      <c r="L285">
        <v>0</v>
      </c>
      <c r="M285">
        <v>10</v>
      </c>
      <c r="N285" t="s">
        <v>402</v>
      </c>
      <c r="O285" t="s">
        <v>403</v>
      </c>
      <c r="P285" t="s">
        <v>221</v>
      </c>
      <c r="Q285" t="s">
        <v>404</v>
      </c>
      <c r="R285" t="s">
        <v>405</v>
      </c>
      <c r="S285">
        <v>69</v>
      </c>
      <c r="T285">
        <v>96</v>
      </c>
      <c r="U285">
        <f t="shared" si="17"/>
        <v>-9.64226499963054</v>
      </c>
      <c r="V285">
        <f t="shared" si="18"/>
        <v>-1159.76244883697</v>
      </c>
      <c r="W285">
        <f t="shared" si="19"/>
        <v>-9642.26499963054</v>
      </c>
      <c r="X285">
        <f t="shared" si="16"/>
        <v>-3.89182029811063</v>
      </c>
      <c r="Y285">
        <v>25</v>
      </c>
    </row>
    <row r="286" spans="1:25">
      <c r="A286" s="1">
        <v>317</v>
      </c>
      <c r="B286" t="s">
        <v>398</v>
      </c>
      <c r="C286" t="s">
        <v>496</v>
      </c>
      <c r="D286" t="s">
        <v>497</v>
      </c>
      <c r="E286" t="s">
        <v>477</v>
      </c>
      <c r="F286" t="s">
        <v>42</v>
      </c>
      <c r="G286">
        <v>25</v>
      </c>
      <c r="H286">
        <v>3</v>
      </c>
      <c r="I286">
        <v>59</v>
      </c>
      <c r="J286">
        <v>11</v>
      </c>
      <c r="K286">
        <v>0</v>
      </c>
      <c r="L286">
        <v>0</v>
      </c>
      <c r="M286">
        <v>10</v>
      </c>
      <c r="N286" t="s">
        <v>402</v>
      </c>
      <c r="O286" t="s">
        <v>403</v>
      </c>
      <c r="P286" t="s">
        <v>221</v>
      </c>
      <c r="Q286" t="s">
        <v>404</v>
      </c>
      <c r="R286" t="s">
        <v>405</v>
      </c>
      <c r="S286">
        <v>61</v>
      </c>
      <c r="T286">
        <v>96</v>
      </c>
      <c r="U286">
        <f t="shared" si="17"/>
        <v>-9.64226499963054</v>
      </c>
      <c r="V286">
        <f t="shared" si="18"/>
        <v>-1159.76244883697</v>
      </c>
      <c r="W286">
        <f t="shared" si="19"/>
        <v>-9642.26499963054</v>
      </c>
      <c r="X286">
        <f t="shared" si="16"/>
        <v>-3.89182029811063</v>
      </c>
      <c r="Y286">
        <v>25</v>
      </c>
    </row>
    <row r="287" spans="1:25">
      <c r="A287" s="1">
        <v>318</v>
      </c>
      <c r="B287" t="s">
        <v>398</v>
      </c>
      <c r="C287" t="s">
        <v>498</v>
      </c>
      <c r="D287" t="s">
        <v>499</v>
      </c>
      <c r="E287" t="s">
        <v>477</v>
      </c>
      <c r="F287" t="s">
        <v>42</v>
      </c>
      <c r="G287">
        <v>25</v>
      </c>
      <c r="H287">
        <v>3</v>
      </c>
      <c r="I287">
        <v>59</v>
      </c>
      <c r="J287">
        <v>11</v>
      </c>
      <c r="K287">
        <v>0</v>
      </c>
      <c r="L287">
        <v>0</v>
      </c>
      <c r="M287">
        <v>10</v>
      </c>
      <c r="N287" t="s">
        <v>402</v>
      </c>
      <c r="O287" t="s">
        <v>403</v>
      </c>
      <c r="P287" t="s">
        <v>221</v>
      </c>
      <c r="Q287" t="s">
        <v>404</v>
      </c>
      <c r="R287" t="s">
        <v>405</v>
      </c>
      <c r="S287">
        <v>66</v>
      </c>
      <c r="T287">
        <v>90</v>
      </c>
      <c r="U287">
        <f t="shared" si="17"/>
        <v>-7.29505957049136</v>
      </c>
      <c r="V287">
        <f t="shared" si="18"/>
        <v>-877.442815791599</v>
      </c>
      <c r="W287">
        <f t="shared" si="19"/>
        <v>-7295.05957049136</v>
      </c>
      <c r="X287">
        <f t="shared" si="16"/>
        <v>-2.94443897916644</v>
      </c>
      <c r="Y287">
        <v>25</v>
      </c>
    </row>
    <row r="288" spans="1:25">
      <c r="A288" s="1">
        <v>319</v>
      </c>
      <c r="B288" t="s">
        <v>398</v>
      </c>
      <c r="C288" t="s">
        <v>500</v>
      </c>
      <c r="D288" t="s">
        <v>501</v>
      </c>
      <c r="E288" t="s">
        <v>502</v>
      </c>
      <c r="F288" t="s">
        <v>42</v>
      </c>
      <c r="G288">
        <v>25</v>
      </c>
      <c r="H288">
        <v>3</v>
      </c>
      <c r="I288">
        <v>59</v>
      </c>
      <c r="J288">
        <v>11</v>
      </c>
      <c r="K288">
        <v>0</v>
      </c>
      <c r="L288">
        <v>0</v>
      </c>
      <c r="M288">
        <v>10</v>
      </c>
      <c r="N288" t="s">
        <v>402</v>
      </c>
      <c r="O288" t="s">
        <v>403</v>
      </c>
      <c r="P288" t="s">
        <v>221</v>
      </c>
      <c r="Q288" t="s">
        <v>404</v>
      </c>
      <c r="R288" t="s">
        <v>405</v>
      </c>
      <c r="S288">
        <v>70</v>
      </c>
      <c r="T288">
        <v>81</v>
      </c>
      <c r="U288">
        <f t="shared" si="17"/>
        <v>-5.58459111625598</v>
      </c>
      <c r="V288">
        <f t="shared" si="18"/>
        <v>-671.709299525617</v>
      </c>
      <c r="W288">
        <f t="shared" si="19"/>
        <v>-5584.59111625598</v>
      </c>
      <c r="X288">
        <f t="shared" si="16"/>
        <v>-2.25405805209939</v>
      </c>
      <c r="Y288">
        <v>25</v>
      </c>
    </row>
    <row r="289" spans="1:25">
      <c r="A289" s="1">
        <v>320</v>
      </c>
      <c r="B289" t="s">
        <v>398</v>
      </c>
      <c r="C289" t="s">
        <v>503</v>
      </c>
      <c r="D289" t="s">
        <v>504</v>
      </c>
      <c r="E289" t="s">
        <v>462</v>
      </c>
      <c r="F289" t="s">
        <v>42</v>
      </c>
      <c r="G289">
        <v>25</v>
      </c>
      <c r="H289">
        <v>3</v>
      </c>
      <c r="I289">
        <v>59</v>
      </c>
      <c r="J289">
        <v>11</v>
      </c>
      <c r="K289">
        <v>0</v>
      </c>
      <c r="L289">
        <v>0</v>
      </c>
      <c r="M289">
        <v>10</v>
      </c>
      <c r="N289" t="s">
        <v>402</v>
      </c>
      <c r="O289" t="s">
        <v>403</v>
      </c>
      <c r="P289" t="s">
        <v>221</v>
      </c>
      <c r="Q289" t="s">
        <v>404</v>
      </c>
      <c r="R289" t="s">
        <v>405</v>
      </c>
      <c r="S289">
        <v>66</v>
      </c>
      <c r="T289">
        <v>84</v>
      </c>
      <c r="U289">
        <f t="shared" si="17"/>
        <v>-6.05109062911375</v>
      </c>
      <c r="V289">
        <f t="shared" si="18"/>
        <v>-727.819416540023</v>
      </c>
      <c r="W289">
        <f t="shared" si="19"/>
        <v>-6051.09062911375</v>
      </c>
      <c r="X289">
        <f t="shared" si="16"/>
        <v>-2.4423470353692</v>
      </c>
      <c r="Y289">
        <v>25</v>
      </c>
    </row>
    <row r="290" spans="1:25">
      <c r="A290" s="1">
        <v>321</v>
      </c>
      <c r="B290" t="s">
        <v>398</v>
      </c>
      <c r="C290" t="s">
        <v>505</v>
      </c>
      <c r="D290" t="s">
        <v>506</v>
      </c>
      <c r="E290" t="s">
        <v>502</v>
      </c>
      <c r="F290" t="s">
        <v>42</v>
      </c>
      <c r="G290">
        <v>25</v>
      </c>
      <c r="H290">
        <v>3</v>
      </c>
      <c r="I290">
        <v>59</v>
      </c>
      <c r="J290">
        <v>11</v>
      </c>
      <c r="K290">
        <v>0</v>
      </c>
      <c r="L290">
        <v>0</v>
      </c>
      <c r="M290">
        <v>10</v>
      </c>
      <c r="N290" t="s">
        <v>402</v>
      </c>
      <c r="O290" t="s">
        <v>403</v>
      </c>
      <c r="P290" t="s">
        <v>221</v>
      </c>
      <c r="Q290" t="s">
        <v>404</v>
      </c>
      <c r="R290" t="s">
        <v>405</v>
      </c>
      <c r="S290">
        <v>68</v>
      </c>
      <c r="T290">
        <v>83</v>
      </c>
      <c r="U290">
        <f t="shared" si="17"/>
        <v>-5.88738697540758</v>
      </c>
      <c r="V290">
        <f t="shared" si="18"/>
        <v>-708.129297017991</v>
      </c>
      <c r="W290">
        <f t="shared" si="19"/>
        <v>-5887.38697540758</v>
      </c>
      <c r="X290">
        <f t="shared" ref="X290:X350" si="20">-LN((1+T290*0.01)/(1-T290*0.01))</f>
        <v>-2.37627280878521</v>
      </c>
      <c r="Y290">
        <v>25</v>
      </c>
    </row>
    <row r="291" spans="1:25">
      <c r="A291" s="1">
        <v>322</v>
      </c>
      <c r="B291" t="s">
        <v>398</v>
      </c>
      <c r="C291" t="s">
        <v>507</v>
      </c>
      <c r="D291" t="s">
        <v>506</v>
      </c>
      <c r="E291" t="s">
        <v>435</v>
      </c>
      <c r="F291" t="s">
        <v>42</v>
      </c>
      <c r="G291">
        <v>25</v>
      </c>
      <c r="H291">
        <v>3</v>
      </c>
      <c r="I291">
        <v>59</v>
      </c>
      <c r="J291">
        <v>11</v>
      </c>
      <c r="K291">
        <v>0</v>
      </c>
      <c r="L291">
        <v>0</v>
      </c>
      <c r="M291">
        <v>10</v>
      </c>
      <c r="N291" t="s">
        <v>402</v>
      </c>
      <c r="O291" t="s">
        <v>403</v>
      </c>
      <c r="P291" t="s">
        <v>221</v>
      </c>
      <c r="Q291" t="s">
        <v>404</v>
      </c>
      <c r="R291" t="s">
        <v>405</v>
      </c>
      <c r="S291">
        <v>55</v>
      </c>
      <c r="T291">
        <v>81</v>
      </c>
      <c r="U291">
        <f t="shared" si="17"/>
        <v>-5.58459111625598</v>
      </c>
      <c r="V291">
        <f t="shared" si="18"/>
        <v>-671.709299525617</v>
      </c>
      <c r="W291">
        <f t="shared" si="19"/>
        <v>-5584.59111625598</v>
      </c>
      <c r="X291">
        <f t="shared" si="20"/>
        <v>-2.25405805209939</v>
      </c>
      <c r="Y291">
        <v>25</v>
      </c>
    </row>
    <row r="292" spans="1:25">
      <c r="A292" s="1">
        <v>323</v>
      </c>
      <c r="B292" t="s">
        <v>137</v>
      </c>
      <c r="C292" t="s">
        <v>508</v>
      </c>
      <c r="D292" t="s">
        <v>509</v>
      </c>
      <c r="E292" t="s">
        <v>510</v>
      </c>
      <c r="F292" t="s">
        <v>28</v>
      </c>
      <c r="G292">
        <v>25</v>
      </c>
      <c r="H292">
        <v>7</v>
      </c>
      <c r="I292">
        <v>58</v>
      </c>
      <c r="J292">
        <v>32</v>
      </c>
      <c r="K292">
        <v>9</v>
      </c>
      <c r="L292">
        <v>21</v>
      </c>
      <c r="M292">
        <v>24</v>
      </c>
      <c r="N292" t="s">
        <v>219</v>
      </c>
      <c r="O292" t="s">
        <v>122</v>
      </c>
      <c r="P292" t="s">
        <v>511</v>
      </c>
      <c r="Q292" t="s">
        <v>512</v>
      </c>
      <c r="R292" t="s">
        <v>513</v>
      </c>
      <c r="S292">
        <v>89</v>
      </c>
      <c r="T292">
        <v>83</v>
      </c>
      <c r="U292">
        <f t="shared" si="17"/>
        <v>-5.88738697540758</v>
      </c>
      <c r="V292">
        <f t="shared" si="18"/>
        <v>-708.129297017991</v>
      </c>
      <c r="W292">
        <f t="shared" si="19"/>
        <v>-5887.38697540758</v>
      </c>
      <c r="X292">
        <f t="shared" si="20"/>
        <v>-2.37627280878521</v>
      </c>
      <c r="Y292">
        <v>25</v>
      </c>
    </row>
    <row r="293" spans="1:25">
      <c r="A293" s="1">
        <v>324</v>
      </c>
      <c r="B293" t="s">
        <v>514</v>
      </c>
      <c r="C293" t="s">
        <v>508</v>
      </c>
      <c r="D293" t="s">
        <v>509</v>
      </c>
      <c r="E293" t="s">
        <v>510</v>
      </c>
      <c r="F293" t="s">
        <v>28</v>
      </c>
      <c r="G293">
        <v>25</v>
      </c>
      <c r="H293">
        <v>7</v>
      </c>
      <c r="I293">
        <v>58</v>
      </c>
      <c r="J293">
        <v>32</v>
      </c>
      <c r="K293">
        <v>9</v>
      </c>
      <c r="L293">
        <v>21</v>
      </c>
      <c r="M293">
        <v>24</v>
      </c>
      <c r="N293" t="s">
        <v>219</v>
      </c>
      <c r="O293" t="s">
        <v>122</v>
      </c>
      <c r="P293" t="s">
        <v>511</v>
      </c>
      <c r="Q293" t="s">
        <v>512</v>
      </c>
      <c r="R293" t="s">
        <v>513</v>
      </c>
      <c r="S293">
        <v>89</v>
      </c>
      <c r="T293">
        <v>89</v>
      </c>
      <c r="U293">
        <f t="shared" si="17"/>
        <v>-7.04584744877774</v>
      </c>
      <c r="V293">
        <f t="shared" si="18"/>
        <v>-847.467819193859</v>
      </c>
      <c r="W293">
        <f t="shared" si="19"/>
        <v>-7045.84744877774</v>
      </c>
      <c r="X293">
        <f t="shared" si="20"/>
        <v>-2.84385174226127</v>
      </c>
      <c r="Y293">
        <v>25</v>
      </c>
    </row>
    <row r="294" spans="1:25">
      <c r="A294" s="1">
        <v>325</v>
      </c>
      <c r="B294" t="s">
        <v>515</v>
      </c>
      <c r="C294" t="s">
        <v>508</v>
      </c>
      <c r="D294" t="s">
        <v>509</v>
      </c>
      <c r="E294" t="s">
        <v>510</v>
      </c>
      <c r="F294" t="s">
        <v>28</v>
      </c>
      <c r="G294">
        <v>25</v>
      </c>
      <c r="H294">
        <v>7</v>
      </c>
      <c r="I294">
        <v>58</v>
      </c>
      <c r="J294">
        <v>32</v>
      </c>
      <c r="K294">
        <v>9</v>
      </c>
      <c r="L294">
        <v>21</v>
      </c>
      <c r="M294">
        <v>24</v>
      </c>
      <c r="N294" t="s">
        <v>219</v>
      </c>
      <c r="O294" t="s">
        <v>122</v>
      </c>
      <c r="P294" t="s">
        <v>511</v>
      </c>
      <c r="Q294" t="s">
        <v>512</v>
      </c>
      <c r="R294" t="s">
        <v>513</v>
      </c>
      <c r="S294">
        <v>83</v>
      </c>
      <c r="T294">
        <v>91</v>
      </c>
      <c r="U294">
        <f t="shared" si="17"/>
        <v>-7.5691034911523</v>
      </c>
      <c r="V294">
        <f t="shared" si="18"/>
        <v>-910.404557511703</v>
      </c>
      <c r="W294">
        <f t="shared" si="19"/>
        <v>-7569.1034911523</v>
      </c>
      <c r="X294">
        <f t="shared" si="20"/>
        <v>-3.05504885071041</v>
      </c>
      <c r="Y294">
        <v>25</v>
      </c>
    </row>
    <row r="295" spans="1:25">
      <c r="A295" s="1">
        <v>326</v>
      </c>
      <c r="B295" t="s">
        <v>516</v>
      </c>
      <c r="C295" t="s">
        <v>508</v>
      </c>
      <c r="D295" t="s">
        <v>509</v>
      </c>
      <c r="E295" t="s">
        <v>510</v>
      </c>
      <c r="F295" t="s">
        <v>28</v>
      </c>
      <c r="G295">
        <v>25</v>
      </c>
      <c r="H295">
        <v>7</v>
      </c>
      <c r="I295">
        <v>58</v>
      </c>
      <c r="J295">
        <v>32</v>
      </c>
      <c r="K295">
        <v>9</v>
      </c>
      <c r="L295">
        <v>21</v>
      </c>
      <c r="M295">
        <v>24</v>
      </c>
      <c r="N295" t="s">
        <v>219</v>
      </c>
      <c r="O295" t="s">
        <v>122</v>
      </c>
      <c r="P295" t="s">
        <v>511</v>
      </c>
      <c r="Q295" t="s">
        <v>512</v>
      </c>
      <c r="R295" t="s">
        <v>513</v>
      </c>
      <c r="S295">
        <v>70</v>
      </c>
      <c r="T295">
        <v>46</v>
      </c>
      <c r="U295">
        <f t="shared" si="17"/>
        <v>-2.46424904274482</v>
      </c>
      <c r="V295">
        <f t="shared" si="18"/>
        <v>-296.39752739293</v>
      </c>
      <c r="W295">
        <f t="shared" si="19"/>
        <v>-2464.24904274482</v>
      </c>
      <c r="X295">
        <f t="shared" si="20"/>
        <v>-0.994622575144062</v>
      </c>
      <c r="Y295">
        <v>25</v>
      </c>
    </row>
    <row r="296" spans="1:25">
      <c r="A296" s="1">
        <v>329</v>
      </c>
      <c r="B296" t="s">
        <v>515</v>
      </c>
      <c r="C296" t="s">
        <v>508</v>
      </c>
      <c r="D296" t="s">
        <v>509</v>
      </c>
      <c r="E296" t="s">
        <v>510</v>
      </c>
      <c r="F296" t="s">
        <v>28</v>
      </c>
      <c r="G296">
        <v>25</v>
      </c>
      <c r="H296">
        <v>7</v>
      </c>
      <c r="I296">
        <v>58</v>
      </c>
      <c r="J296">
        <v>32</v>
      </c>
      <c r="K296">
        <v>12</v>
      </c>
      <c r="L296">
        <v>21</v>
      </c>
      <c r="M296">
        <v>24</v>
      </c>
      <c r="N296" t="s">
        <v>219</v>
      </c>
      <c r="O296" t="s">
        <v>122</v>
      </c>
      <c r="P296" t="s">
        <v>517</v>
      </c>
      <c r="Q296" t="s">
        <v>512</v>
      </c>
      <c r="R296" t="s">
        <v>513</v>
      </c>
      <c r="S296">
        <v>32</v>
      </c>
      <c r="T296">
        <v>89</v>
      </c>
      <c r="U296">
        <f t="shared" si="17"/>
        <v>-7.04584744877774</v>
      </c>
      <c r="V296">
        <f t="shared" si="18"/>
        <v>-847.467819193859</v>
      </c>
      <c r="W296">
        <f t="shared" si="19"/>
        <v>-7045.84744877774</v>
      </c>
      <c r="X296">
        <f t="shared" si="20"/>
        <v>-2.84385174226127</v>
      </c>
      <c r="Y296">
        <v>25</v>
      </c>
    </row>
    <row r="297" spans="1:25">
      <c r="A297" s="1">
        <v>330</v>
      </c>
      <c r="B297" t="s">
        <v>515</v>
      </c>
      <c r="C297" t="s">
        <v>508</v>
      </c>
      <c r="D297" t="s">
        <v>509</v>
      </c>
      <c r="E297" t="s">
        <v>510</v>
      </c>
      <c r="F297" t="s">
        <v>28</v>
      </c>
      <c r="G297">
        <v>25</v>
      </c>
      <c r="H297">
        <v>7</v>
      </c>
      <c r="I297">
        <v>58</v>
      </c>
      <c r="J297">
        <v>32</v>
      </c>
      <c r="K297">
        <v>11</v>
      </c>
      <c r="L297">
        <v>21</v>
      </c>
      <c r="M297">
        <v>24</v>
      </c>
      <c r="N297" t="s">
        <v>219</v>
      </c>
      <c r="O297" t="s">
        <v>122</v>
      </c>
      <c r="P297" t="s">
        <v>518</v>
      </c>
      <c r="Q297" t="s">
        <v>512</v>
      </c>
      <c r="R297" t="s">
        <v>513</v>
      </c>
      <c r="S297">
        <v>77</v>
      </c>
      <c r="T297">
        <v>87</v>
      </c>
      <c r="U297">
        <f t="shared" si="17"/>
        <v>-6.60560152861296</v>
      </c>
      <c r="V297">
        <f t="shared" si="18"/>
        <v>-794.515459299129</v>
      </c>
      <c r="W297">
        <f t="shared" si="19"/>
        <v>-6605.60152861296</v>
      </c>
      <c r="X297">
        <f t="shared" si="20"/>
        <v>-2.66615925939305</v>
      </c>
      <c r="Y297">
        <v>25</v>
      </c>
    </row>
    <row r="298" spans="1:25">
      <c r="A298" s="1">
        <v>331</v>
      </c>
      <c r="B298" t="s">
        <v>515</v>
      </c>
      <c r="C298" t="s">
        <v>508</v>
      </c>
      <c r="D298" t="s">
        <v>509</v>
      </c>
      <c r="E298" t="s">
        <v>510</v>
      </c>
      <c r="F298" t="s">
        <v>28</v>
      </c>
      <c r="G298">
        <v>25</v>
      </c>
      <c r="H298">
        <v>7</v>
      </c>
      <c r="I298">
        <v>58</v>
      </c>
      <c r="J298">
        <v>33</v>
      </c>
      <c r="K298">
        <v>9</v>
      </c>
      <c r="L298">
        <v>21</v>
      </c>
      <c r="M298">
        <v>24</v>
      </c>
      <c r="N298" t="s">
        <v>219</v>
      </c>
      <c r="O298" t="s">
        <v>519</v>
      </c>
      <c r="P298" t="s">
        <v>511</v>
      </c>
      <c r="Q298" t="s">
        <v>512</v>
      </c>
      <c r="R298" t="s">
        <v>513</v>
      </c>
      <c r="S298">
        <v>67</v>
      </c>
      <c r="T298">
        <v>92</v>
      </c>
      <c r="U298">
        <f t="shared" si="17"/>
        <v>-7.87385718456282</v>
      </c>
      <c r="V298">
        <f t="shared" si="18"/>
        <v>-947.060041443688</v>
      </c>
      <c r="W298">
        <f t="shared" si="19"/>
        <v>-7873.85718456282</v>
      </c>
      <c r="X298">
        <f t="shared" si="20"/>
        <v>-3.17805383034795</v>
      </c>
      <c r="Y298">
        <v>25</v>
      </c>
    </row>
    <row r="299" spans="1:25">
      <c r="A299" s="1">
        <v>332</v>
      </c>
      <c r="B299" t="s">
        <v>515</v>
      </c>
      <c r="C299" t="s">
        <v>508</v>
      </c>
      <c r="D299" t="s">
        <v>509</v>
      </c>
      <c r="E299" t="s">
        <v>510</v>
      </c>
      <c r="F299" t="s">
        <v>28</v>
      </c>
      <c r="G299">
        <v>25</v>
      </c>
      <c r="H299">
        <v>7</v>
      </c>
      <c r="I299">
        <v>58</v>
      </c>
      <c r="J299">
        <v>34</v>
      </c>
      <c r="K299">
        <v>9</v>
      </c>
      <c r="L299">
        <v>21</v>
      </c>
      <c r="M299">
        <v>24</v>
      </c>
      <c r="N299" t="s">
        <v>219</v>
      </c>
      <c r="O299" t="s">
        <v>520</v>
      </c>
      <c r="P299" t="s">
        <v>511</v>
      </c>
      <c r="Q299" t="s">
        <v>512</v>
      </c>
      <c r="R299" t="s">
        <v>513</v>
      </c>
      <c r="S299">
        <v>68</v>
      </c>
      <c r="T299">
        <v>91</v>
      </c>
      <c r="U299">
        <f t="shared" si="17"/>
        <v>-7.5691034911523</v>
      </c>
      <c r="V299">
        <f t="shared" si="18"/>
        <v>-910.404557511703</v>
      </c>
      <c r="W299">
        <f t="shared" si="19"/>
        <v>-7569.1034911523</v>
      </c>
      <c r="X299">
        <f t="shared" si="20"/>
        <v>-3.05504885071041</v>
      </c>
      <c r="Y299">
        <v>25</v>
      </c>
    </row>
    <row r="300" spans="1:25">
      <c r="A300" s="1">
        <v>333</v>
      </c>
      <c r="B300" t="s">
        <v>515</v>
      </c>
      <c r="C300" t="s">
        <v>508</v>
      </c>
      <c r="D300" t="s">
        <v>509</v>
      </c>
      <c r="E300" t="s">
        <v>510</v>
      </c>
      <c r="F300" t="s">
        <v>28</v>
      </c>
      <c r="G300">
        <v>25</v>
      </c>
      <c r="H300">
        <v>7</v>
      </c>
      <c r="I300">
        <v>13</v>
      </c>
      <c r="J300">
        <v>32</v>
      </c>
      <c r="K300">
        <v>9</v>
      </c>
      <c r="L300">
        <v>21</v>
      </c>
      <c r="M300">
        <v>24</v>
      </c>
      <c r="N300" t="s">
        <v>521</v>
      </c>
      <c r="O300" t="s">
        <v>122</v>
      </c>
      <c r="P300" t="s">
        <v>511</v>
      </c>
      <c r="Q300" t="s">
        <v>512</v>
      </c>
      <c r="R300" t="s">
        <v>513</v>
      </c>
      <c r="S300">
        <v>82</v>
      </c>
      <c r="T300">
        <v>90</v>
      </c>
      <c r="U300">
        <f t="shared" si="17"/>
        <v>-7.29505957049136</v>
      </c>
      <c r="V300">
        <f t="shared" si="18"/>
        <v>-877.442815791599</v>
      </c>
      <c r="W300">
        <f t="shared" si="19"/>
        <v>-7295.05957049136</v>
      </c>
      <c r="X300">
        <f t="shared" si="20"/>
        <v>-2.94443897916644</v>
      </c>
      <c r="Y300">
        <v>25</v>
      </c>
    </row>
    <row r="301" spans="1:25">
      <c r="A301" s="1">
        <v>334</v>
      </c>
      <c r="B301" t="s">
        <v>515</v>
      </c>
      <c r="C301" t="s">
        <v>522</v>
      </c>
      <c r="D301" t="s">
        <v>509</v>
      </c>
      <c r="E301" t="s">
        <v>523</v>
      </c>
      <c r="F301" t="s">
        <v>28</v>
      </c>
      <c r="G301">
        <v>25</v>
      </c>
      <c r="H301">
        <v>7</v>
      </c>
      <c r="I301">
        <v>58</v>
      </c>
      <c r="J301">
        <v>36</v>
      </c>
      <c r="K301">
        <v>9</v>
      </c>
      <c r="L301">
        <v>21</v>
      </c>
      <c r="M301">
        <v>24</v>
      </c>
      <c r="N301" t="s">
        <v>219</v>
      </c>
      <c r="O301" t="s">
        <v>524</v>
      </c>
      <c r="P301" t="s">
        <v>511</v>
      </c>
      <c r="Q301" t="s">
        <v>512</v>
      </c>
      <c r="R301" t="s">
        <v>513</v>
      </c>
      <c r="S301">
        <v>70</v>
      </c>
      <c r="T301">
        <v>92</v>
      </c>
      <c r="U301">
        <f t="shared" si="17"/>
        <v>-7.87385718456282</v>
      </c>
      <c r="V301">
        <f t="shared" si="18"/>
        <v>-947.060041443688</v>
      </c>
      <c r="W301">
        <f t="shared" si="19"/>
        <v>-7873.85718456282</v>
      </c>
      <c r="X301">
        <f t="shared" si="20"/>
        <v>-3.17805383034795</v>
      </c>
      <c r="Y301">
        <v>25</v>
      </c>
    </row>
    <row r="302" spans="1:25">
      <c r="A302" s="1">
        <v>335</v>
      </c>
      <c r="B302" t="s">
        <v>515</v>
      </c>
      <c r="C302" t="s">
        <v>525</v>
      </c>
      <c r="D302" t="s">
        <v>509</v>
      </c>
      <c r="E302" t="s">
        <v>526</v>
      </c>
      <c r="F302" t="s">
        <v>28</v>
      </c>
      <c r="G302">
        <v>25</v>
      </c>
      <c r="H302">
        <v>7</v>
      </c>
      <c r="I302">
        <v>58</v>
      </c>
      <c r="J302">
        <v>35</v>
      </c>
      <c r="K302">
        <v>9</v>
      </c>
      <c r="L302">
        <v>21</v>
      </c>
      <c r="M302">
        <v>24</v>
      </c>
      <c r="N302" t="s">
        <v>219</v>
      </c>
      <c r="O302" t="s">
        <v>527</v>
      </c>
      <c r="P302" t="s">
        <v>511</v>
      </c>
      <c r="Q302" t="s">
        <v>512</v>
      </c>
      <c r="R302" t="s">
        <v>513</v>
      </c>
      <c r="S302">
        <v>70</v>
      </c>
      <c r="T302">
        <v>91</v>
      </c>
      <c r="U302">
        <f t="shared" si="17"/>
        <v>-7.5691034911523</v>
      </c>
      <c r="V302">
        <f t="shared" si="18"/>
        <v>-910.404557511703</v>
      </c>
      <c r="W302">
        <f t="shared" si="19"/>
        <v>-7569.1034911523</v>
      </c>
      <c r="X302">
        <f t="shared" si="20"/>
        <v>-3.05504885071041</v>
      </c>
      <c r="Y302">
        <v>25</v>
      </c>
    </row>
    <row r="303" spans="1:25">
      <c r="A303" s="1">
        <v>336</v>
      </c>
      <c r="B303" t="s">
        <v>515</v>
      </c>
      <c r="C303" t="s">
        <v>528</v>
      </c>
      <c r="D303" t="s">
        <v>509</v>
      </c>
      <c r="E303" t="s">
        <v>529</v>
      </c>
      <c r="F303" t="s">
        <v>28</v>
      </c>
      <c r="G303">
        <v>25</v>
      </c>
      <c r="H303">
        <v>7</v>
      </c>
      <c r="I303">
        <v>58</v>
      </c>
      <c r="J303">
        <v>36</v>
      </c>
      <c r="K303">
        <v>9</v>
      </c>
      <c r="L303">
        <v>21</v>
      </c>
      <c r="M303">
        <v>24</v>
      </c>
      <c r="N303" t="s">
        <v>219</v>
      </c>
      <c r="O303" t="s">
        <v>524</v>
      </c>
      <c r="P303" t="s">
        <v>511</v>
      </c>
      <c r="Q303" t="s">
        <v>512</v>
      </c>
      <c r="R303" t="s">
        <v>513</v>
      </c>
      <c r="S303">
        <v>68</v>
      </c>
      <c r="T303">
        <v>88</v>
      </c>
      <c r="U303">
        <f t="shared" si="17"/>
        <v>-6.81712684860397</v>
      </c>
      <c r="V303">
        <f t="shared" si="18"/>
        <v>-819.957523286501</v>
      </c>
      <c r="W303">
        <f t="shared" si="19"/>
        <v>-6817.12684860397</v>
      </c>
      <c r="X303">
        <f t="shared" si="20"/>
        <v>-2.75153531304195</v>
      </c>
      <c r="Y303">
        <v>25</v>
      </c>
    </row>
    <row r="304" spans="1:25">
      <c r="A304" s="1">
        <v>337</v>
      </c>
      <c r="B304" t="s">
        <v>515</v>
      </c>
      <c r="C304" t="s">
        <v>530</v>
      </c>
      <c r="D304" t="s">
        <v>509</v>
      </c>
      <c r="E304" t="s">
        <v>531</v>
      </c>
      <c r="F304" t="s">
        <v>28</v>
      </c>
      <c r="G304">
        <v>25</v>
      </c>
      <c r="H304">
        <v>7</v>
      </c>
      <c r="I304">
        <v>58</v>
      </c>
      <c r="J304">
        <v>36</v>
      </c>
      <c r="K304">
        <v>9</v>
      </c>
      <c r="L304">
        <v>21</v>
      </c>
      <c r="M304">
        <v>24</v>
      </c>
      <c r="N304" t="s">
        <v>219</v>
      </c>
      <c r="O304" t="s">
        <v>524</v>
      </c>
      <c r="P304" t="s">
        <v>511</v>
      </c>
      <c r="Q304" t="s">
        <v>512</v>
      </c>
      <c r="R304" t="s">
        <v>513</v>
      </c>
      <c r="S304">
        <v>69</v>
      </c>
      <c r="T304">
        <v>90</v>
      </c>
      <c r="U304">
        <f t="shared" si="17"/>
        <v>-7.29505957049136</v>
      </c>
      <c r="V304">
        <f t="shared" si="18"/>
        <v>-877.442815791599</v>
      </c>
      <c r="W304">
        <f t="shared" si="19"/>
        <v>-7295.05957049136</v>
      </c>
      <c r="X304">
        <f t="shared" si="20"/>
        <v>-2.94443897916644</v>
      </c>
      <c r="Y304">
        <v>25</v>
      </c>
    </row>
    <row r="305" spans="1:25">
      <c r="A305" s="1">
        <v>338</v>
      </c>
      <c r="B305" t="s">
        <v>515</v>
      </c>
      <c r="C305" t="s">
        <v>530</v>
      </c>
      <c r="D305" t="s">
        <v>509</v>
      </c>
      <c r="E305" t="s">
        <v>532</v>
      </c>
      <c r="F305" t="s">
        <v>28</v>
      </c>
      <c r="G305">
        <v>25</v>
      </c>
      <c r="H305">
        <v>7</v>
      </c>
      <c r="I305">
        <v>58</v>
      </c>
      <c r="J305">
        <v>36</v>
      </c>
      <c r="K305">
        <v>9</v>
      </c>
      <c r="L305">
        <v>21</v>
      </c>
      <c r="M305">
        <v>24</v>
      </c>
      <c r="N305" t="s">
        <v>219</v>
      </c>
      <c r="O305" t="s">
        <v>524</v>
      </c>
      <c r="P305" t="s">
        <v>511</v>
      </c>
      <c r="Q305" t="s">
        <v>512</v>
      </c>
      <c r="R305" t="s">
        <v>513</v>
      </c>
      <c r="S305">
        <v>73</v>
      </c>
      <c r="T305">
        <v>91</v>
      </c>
      <c r="U305">
        <f t="shared" si="17"/>
        <v>-7.5691034911523</v>
      </c>
      <c r="V305">
        <f t="shared" si="18"/>
        <v>-910.404557511703</v>
      </c>
      <c r="W305">
        <f t="shared" si="19"/>
        <v>-7569.1034911523</v>
      </c>
      <c r="X305">
        <f t="shared" si="20"/>
        <v>-3.05504885071041</v>
      </c>
      <c r="Y305">
        <v>25</v>
      </c>
    </row>
    <row r="306" spans="1:25">
      <c r="A306" s="1">
        <v>339</v>
      </c>
      <c r="B306" t="s">
        <v>515</v>
      </c>
      <c r="C306" t="s">
        <v>533</v>
      </c>
      <c r="D306" t="s">
        <v>509</v>
      </c>
      <c r="E306" t="s">
        <v>534</v>
      </c>
      <c r="F306" t="s">
        <v>28</v>
      </c>
      <c r="G306">
        <v>25</v>
      </c>
      <c r="H306">
        <v>7</v>
      </c>
      <c r="I306">
        <v>58</v>
      </c>
      <c r="J306">
        <v>36</v>
      </c>
      <c r="K306">
        <v>9</v>
      </c>
      <c r="L306">
        <v>21</v>
      </c>
      <c r="M306">
        <v>24</v>
      </c>
      <c r="N306" t="s">
        <v>219</v>
      </c>
      <c r="O306" t="s">
        <v>524</v>
      </c>
      <c r="P306" t="s">
        <v>511</v>
      </c>
      <c r="Q306" t="s">
        <v>512</v>
      </c>
      <c r="R306" t="s">
        <v>513</v>
      </c>
      <c r="S306">
        <v>72</v>
      </c>
      <c r="T306">
        <v>90</v>
      </c>
      <c r="U306">
        <f t="shared" si="17"/>
        <v>-7.29505957049136</v>
      </c>
      <c r="V306">
        <f t="shared" si="18"/>
        <v>-877.442815791599</v>
      </c>
      <c r="W306">
        <f t="shared" si="19"/>
        <v>-7295.05957049136</v>
      </c>
      <c r="X306">
        <f t="shared" si="20"/>
        <v>-2.94443897916644</v>
      </c>
      <c r="Y306">
        <v>25</v>
      </c>
    </row>
    <row r="307" spans="1:25">
      <c r="A307" s="1">
        <v>340</v>
      </c>
      <c r="B307" t="s">
        <v>515</v>
      </c>
      <c r="C307" t="s">
        <v>535</v>
      </c>
      <c r="D307" t="s">
        <v>509</v>
      </c>
      <c r="E307" t="s">
        <v>536</v>
      </c>
      <c r="F307" t="s">
        <v>28</v>
      </c>
      <c r="G307">
        <v>25</v>
      </c>
      <c r="H307">
        <v>7</v>
      </c>
      <c r="I307">
        <v>58</v>
      </c>
      <c r="J307">
        <v>36</v>
      </c>
      <c r="K307">
        <v>9</v>
      </c>
      <c r="L307">
        <v>21</v>
      </c>
      <c r="M307">
        <v>24</v>
      </c>
      <c r="N307" t="s">
        <v>219</v>
      </c>
      <c r="O307" t="s">
        <v>524</v>
      </c>
      <c r="P307" t="s">
        <v>511</v>
      </c>
      <c r="Q307" t="s">
        <v>512</v>
      </c>
      <c r="R307" t="s">
        <v>513</v>
      </c>
      <c r="S307">
        <v>75</v>
      </c>
      <c r="T307">
        <v>88</v>
      </c>
      <c r="U307">
        <f t="shared" si="17"/>
        <v>-6.81712684860397</v>
      </c>
      <c r="V307">
        <f t="shared" si="18"/>
        <v>-819.957523286501</v>
      </c>
      <c r="W307">
        <f t="shared" si="19"/>
        <v>-6817.12684860397</v>
      </c>
      <c r="X307">
        <f t="shared" si="20"/>
        <v>-2.75153531304195</v>
      </c>
      <c r="Y307">
        <v>25</v>
      </c>
    </row>
    <row r="308" spans="1:25">
      <c r="A308" s="1">
        <v>341</v>
      </c>
      <c r="B308" t="s">
        <v>515</v>
      </c>
      <c r="C308" t="s">
        <v>537</v>
      </c>
      <c r="D308" t="s">
        <v>509</v>
      </c>
      <c r="E308" t="s">
        <v>538</v>
      </c>
      <c r="F308" t="s">
        <v>28</v>
      </c>
      <c r="G308">
        <v>25</v>
      </c>
      <c r="H308">
        <v>7</v>
      </c>
      <c r="I308">
        <v>58</v>
      </c>
      <c r="J308">
        <v>36</v>
      </c>
      <c r="K308">
        <v>9</v>
      </c>
      <c r="L308">
        <v>21</v>
      </c>
      <c r="M308">
        <v>24</v>
      </c>
      <c r="N308" t="s">
        <v>219</v>
      </c>
      <c r="O308" t="s">
        <v>524</v>
      </c>
      <c r="P308" t="s">
        <v>511</v>
      </c>
      <c r="Q308" t="s">
        <v>512</v>
      </c>
      <c r="R308" t="s">
        <v>513</v>
      </c>
      <c r="S308">
        <v>76</v>
      </c>
      <c r="T308">
        <v>92</v>
      </c>
      <c r="U308">
        <f t="shared" si="17"/>
        <v>-7.87385718456282</v>
      </c>
      <c r="V308">
        <f t="shared" si="18"/>
        <v>-947.060041443688</v>
      </c>
      <c r="W308">
        <f t="shared" si="19"/>
        <v>-7873.85718456282</v>
      </c>
      <c r="X308">
        <f t="shared" si="20"/>
        <v>-3.17805383034795</v>
      </c>
      <c r="Y308">
        <v>25</v>
      </c>
    </row>
    <row r="309" spans="1:25">
      <c r="A309" s="1">
        <v>342</v>
      </c>
      <c r="B309" t="s">
        <v>515</v>
      </c>
      <c r="C309" t="s">
        <v>539</v>
      </c>
      <c r="D309" t="s">
        <v>509</v>
      </c>
      <c r="E309" t="s">
        <v>540</v>
      </c>
      <c r="F309" t="s">
        <v>28</v>
      </c>
      <c r="G309">
        <v>25</v>
      </c>
      <c r="H309">
        <v>7</v>
      </c>
      <c r="I309">
        <v>58</v>
      </c>
      <c r="J309">
        <v>35</v>
      </c>
      <c r="K309">
        <v>9</v>
      </c>
      <c r="L309">
        <v>21</v>
      </c>
      <c r="M309">
        <v>24</v>
      </c>
      <c r="N309" t="s">
        <v>219</v>
      </c>
      <c r="O309" t="s">
        <v>527</v>
      </c>
      <c r="P309" t="s">
        <v>511</v>
      </c>
      <c r="Q309" t="s">
        <v>512</v>
      </c>
      <c r="R309" t="s">
        <v>513</v>
      </c>
      <c r="S309">
        <v>40</v>
      </c>
      <c r="T309">
        <v>87</v>
      </c>
      <c r="U309">
        <f t="shared" si="17"/>
        <v>-6.60560152861296</v>
      </c>
      <c r="V309">
        <f t="shared" si="18"/>
        <v>-794.515459299129</v>
      </c>
      <c r="W309">
        <f t="shared" si="19"/>
        <v>-6605.60152861296</v>
      </c>
      <c r="X309">
        <f t="shared" si="20"/>
        <v>-2.66615925939305</v>
      </c>
      <c r="Y309">
        <v>25</v>
      </c>
    </row>
    <row r="310" spans="1:25">
      <c r="A310" s="1">
        <v>343</v>
      </c>
      <c r="B310" t="s">
        <v>515</v>
      </c>
      <c r="C310" t="s">
        <v>541</v>
      </c>
      <c r="D310" t="s">
        <v>509</v>
      </c>
      <c r="E310" t="s">
        <v>542</v>
      </c>
      <c r="F310" t="s">
        <v>28</v>
      </c>
      <c r="G310">
        <v>25</v>
      </c>
      <c r="H310">
        <v>7</v>
      </c>
      <c r="I310">
        <v>58</v>
      </c>
      <c r="J310">
        <v>36</v>
      </c>
      <c r="K310">
        <v>9</v>
      </c>
      <c r="L310">
        <v>21</v>
      </c>
      <c r="M310">
        <v>24</v>
      </c>
      <c r="N310" t="s">
        <v>219</v>
      </c>
      <c r="O310" t="s">
        <v>524</v>
      </c>
      <c r="P310" t="s">
        <v>511</v>
      </c>
      <c r="Q310" t="s">
        <v>512</v>
      </c>
      <c r="R310" t="s">
        <v>513</v>
      </c>
      <c r="S310">
        <v>69</v>
      </c>
      <c r="T310">
        <v>89</v>
      </c>
      <c r="U310">
        <f t="shared" si="17"/>
        <v>-7.04584744877774</v>
      </c>
      <c r="V310">
        <f t="shared" si="18"/>
        <v>-847.467819193859</v>
      </c>
      <c r="W310">
        <f t="shared" si="19"/>
        <v>-7045.84744877774</v>
      </c>
      <c r="X310">
        <f t="shared" si="20"/>
        <v>-2.84385174226127</v>
      </c>
      <c r="Y310">
        <v>25</v>
      </c>
    </row>
    <row r="311" spans="1:25">
      <c r="A311" s="1">
        <v>344</v>
      </c>
      <c r="B311" t="s">
        <v>515</v>
      </c>
      <c r="C311" t="s">
        <v>543</v>
      </c>
      <c r="D311" t="s">
        <v>509</v>
      </c>
      <c r="E311" t="s">
        <v>544</v>
      </c>
      <c r="F311" t="s">
        <v>28</v>
      </c>
      <c r="G311">
        <v>25</v>
      </c>
      <c r="H311">
        <v>7</v>
      </c>
      <c r="I311">
        <v>58</v>
      </c>
      <c r="J311">
        <v>36</v>
      </c>
      <c r="K311">
        <v>9</v>
      </c>
      <c r="L311">
        <v>21</v>
      </c>
      <c r="M311">
        <v>24</v>
      </c>
      <c r="N311" t="s">
        <v>219</v>
      </c>
      <c r="O311" t="s">
        <v>524</v>
      </c>
      <c r="P311" t="s">
        <v>511</v>
      </c>
      <c r="Q311" t="s">
        <v>512</v>
      </c>
      <c r="R311" t="s">
        <v>513</v>
      </c>
      <c r="S311">
        <v>49</v>
      </c>
      <c r="T311">
        <v>90</v>
      </c>
      <c r="U311">
        <f t="shared" si="17"/>
        <v>-7.29505957049136</v>
      </c>
      <c r="V311">
        <f t="shared" si="18"/>
        <v>-877.442815791599</v>
      </c>
      <c r="W311">
        <f t="shared" si="19"/>
        <v>-7295.05957049136</v>
      </c>
      <c r="X311">
        <f t="shared" si="20"/>
        <v>-2.94443897916644</v>
      </c>
      <c r="Y311">
        <v>25</v>
      </c>
    </row>
    <row r="312" spans="1:25">
      <c r="A312" s="1">
        <v>345</v>
      </c>
      <c r="B312" t="s">
        <v>515</v>
      </c>
      <c r="C312" t="s">
        <v>545</v>
      </c>
      <c r="D312" t="s">
        <v>509</v>
      </c>
      <c r="E312" t="s">
        <v>546</v>
      </c>
      <c r="F312" t="s">
        <v>28</v>
      </c>
      <c r="G312">
        <v>25</v>
      </c>
      <c r="H312">
        <v>7</v>
      </c>
      <c r="I312">
        <v>58</v>
      </c>
      <c r="J312">
        <v>35</v>
      </c>
      <c r="K312">
        <v>9</v>
      </c>
      <c r="L312">
        <v>21</v>
      </c>
      <c r="M312">
        <v>24</v>
      </c>
      <c r="N312" t="s">
        <v>219</v>
      </c>
      <c r="O312" t="s">
        <v>527</v>
      </c>
      <c r="P312" t="s">
        <v>511</v>
      </c>
      <c r="Q312" t="s">
        <v>512</v>
      </c>
      <c r="R312" t="s">
        <v>513</v>
      </c>
      <c r="S312">
        <v>46</v>
      </c>
      <c r="T312">
        <v>88</v>
      </c>
      <c r="U312">
        <f t="shared" si="17"/>
        <v>-6.81712684860397</v>
      </c>
      <c r="V312">
        <f t="shared" si="18"/>
        <v>-819.957523286501</v>
      </c>
      <c r="W312">
        <f t="shared" si="19"/>
        <v>-6817.12684860397</v>
      </c>
      <c r="X312">
        <f t="shared" si="20"/>
        <v>-2.75153531304195</v>
      </c>
      <c r="Y312">
        <v>25</v>
      </c>
    </row>
    <row r="313" spans="1:25">
      <c r="A313" s="1">
        <v>346</v>
      </c>
      <c r="B313" t="s">
        <v>515</v>
      </c>
      <c r="C313" t="s">
        <v>547</v>
      </c>
      <c r="D313" t="s">
        <v>509</v>
      </c>
      <c r="E313" t="s">
        <v>548</v>
      </c>
      <c r="F313" t="s">
        <v>28</v>
      </c>
      <c r="G313">
        <v>25</v>
      </c>
      <c r="H313">
        <v>7</v>
      </c>
      <c r="I313">
        <v>58</v>
      </c>
      <c r="J313">
        <v>36</v>
      </c>
      <c r="K313">
        <v>9</v>
      </c>
      <c r="L313">
        <v>21</v>
      </c>
      <c r="M313">
        <v>24</v>
      </c>
      <c r="N313" t="s">
        <v>219</v>
      </c>
      <c r="O313" t="s">
        <v>524</v>
      </c>
      <c r="P313" t="s">
        <v>511</v>
      </c>
      <c r="Q313" t="s">
        <v>512</v>
      </c>
      <c r="R313" t="s">
        <v>513</v>
      </c>
      <c r="S313">
        <v>69</v>
      </c>
      <c r="T313">
        <v>85</v>
      </c>
      <c r="U313">
        <f t="shared" si="17"/>
        <v>-6.22441806940575</v>
      </c>
      <c r="V313">
        <f t="shared" si="18"/>
        <v>-748.667075944882</v>
      </c>
      <c r="W313">
        <f t="shared" si="19"/>
        <v>-6224.41806940575</v>
      </c>
      <c r="X313">
        <f t="shared" si="20"/>
        <v>-2.51230562397611</v>
      </c>
      <c r="Y313">
        <v>25</v>
      </c>
    </row>
    <row r="314" spans="1:25">
      <c r="A314" s="1">
        <v>347</v>
      </c>
      <c r="B314" t="s">
        <v>515</v>
      </c>
      <c r="C314" t="s">
        <v>549</v>
      </c>
      <c r="D314" t="s">
        <v>509</v>
      </c>
      <c r="E314" t="s">
        <v>550</v>
      </c>
      <c r="F314" t="s">
        <v>28</v>
      </c>
      <c r="G314">
        <v>25</v>
      </c>
      <c r="H314">
        <v>7</v>
      </c>
      <c r="I314">
        <v>58</v>
      </c>
      <c r="J314">
        <v>36</v>
      </c>
      <c r="K314">
        <v>9</v>
      </c>
      <c r="L314">
        <v>21</v>
      </c>
      <c r="M314">
        <v>24</v>
      </c>
      <c r="N314" t="s">
        <v>219</v>
      </c>
      <c r="O314" t="s">
        <v>524</v>
      </c>
      <c r="P314" t="s">
        <v>511</v>
      </c>
      <c r="Q314" t="s">
        <v>512</v>
      </c>
      <c r="R314" t="s">
        <v>513</v>
      </c>
      <c r="S314">
        <v>52</v>
      </c>
      <c r="T314">
        <v>88</v>
      </c>
      <c r="U314">
        <f t="shared" si="17"/>
        <v>-6.81712684860397</v>
      </c>
      <c r="V314">
        <f t="shared" si="18"/>
        <v>-819.957523286501</v>
      </c>
      <c r="W314">
        <f t="shared" si="19"/>
        <v>-6817.12684860397</v>
      </c>
      <c r="X314">
        <f t="shared" si="20"/>
        <v>-2.75153531304195</v>
      </c>
      <c r="Y314">
        <v>25</v>
      </c>
    </row>
    <row r="315" spans="1:25">
      <c r="A315" s="1">
        <v>348</v>
      </c>
      <c r="B315" t="s">
        <v>515</v>
      </c>
      <c r="C315" t="s">
        <v>551</v>
      </c>
      <c r="D315" t="s">
        <v>509</v>
      </c>
      <c r="E315" t="s">
        <v>552</v>
      </c>
      <c r="F315" t="s">
        <v>28</v>
      </c>
      <c r="G315">
        <v>25</v>
      </c>
      <c r="H315">
        <v>7</v>
      </c>
      <c r="I315">
        <v>58</v>
      </c>
      <c r="J315">
        <v>35</v>
      </c>
      <c r="K315">
        <v>9</v>
      </c>
      <c r="L315">
        <v>21</v>
      </c>
      <c r="M315">
        <v>24</v>
      </c>
      <c r="N315" t="s">
        <v>219</v>
      </c>
      <c r="O315" t="s">
        <v>527</v>
      </c>
      <c r="P315" t="s">
        <v>511</v>
      </c>
      <c r="Q315" t="s">
        <v>512</v>
      </c>
      <c r="R315" t="s">
        <v>513</v>
      </c>
      <c r="S315">
        <v>61</v>
      </c>
      <c r="T315">
        <v>93</v>
      </c>
      <c r="U315">
        <f t="shared" si="17"/>
        <v>-8.21756135689019</v>
      </c>
      <c r="V315">
        <f t="shared" si="18"/>
        <v>-988.400451875173</v>
      </c>
      <c r="W315">
        <f t="shared" si="19"/>
        <v>-8217.56135689019</v>
      </c>
      <c r="X315">
        <f t="shared" si="20"/>
        <v>-3.31678003984957</v>
      </c>
      <c r="Y315">
        <v>25</v>
      </c>
    </row>
    <row r="316" spans="1:25">
      <c r="A316" s="1">
        <v>349</v>
      </c>
      <c r="B316" t="s">
        <v>515</v>
      </c>
      <c r="C316" t="s">
        <v>553</v>
      </c>
      <c r="D316" t="s">
        <v>509</v>
      </c>
      <c r="E316" t="s">
        <v>554</v>
      </c>
      <c r="F316" t="s">
        <v>28</v>
      </c>
      <c r="G316">
        <v>25</v>
      </c>
      <c r="H316">
        <v>7</v>
      </c>
      <c r="I316">
        <v>58</v>
      </c>
      <c r="J316">
        <v>36</v>
      </c>
      <c r="K316">
        <v>9</v>
      </c>
      <c r="L316">
        <v>21</v>
      </c>
      <c r="M316">
        <v>24</v>
      </c>
      <c r="N316" t="s">
        <v>219</v>
      </c>
      <c r="O316" t="s">
        <v>524</v>
      </c>
      <c r="P316" t="s">
        <v>511</v>
      </c>
      <c r="Q316" t="s">
        <v>512</v>
      </c>
      <c r="R316" t="s">
        <v>513</v>
      </c>
      <c r="S316">
        <v>68</v>
      </c>
      <c r="T316">
        <v>89</v>
      </c>
      <c r="U316">
        <f t="shared" si="17"/>
        <v>-7.04584744877774</v>
      </c>
      <c r="V316">
        <f t="shared" si="18"/>
        <v>-847.467819193859</v>
      </c>
      <c r="W316">
        <f t="shared" si="19"/>
        <v>-7045.84744877774</v>
      </c>
      <c r="X316">
        <f t="shared" si="20"/>
        <v>-2.84385174226127</v>
      </c>
      <c r="Y316">
        <v>25</v>
      </c>
    </row>
    <row r="317" spans="1:25">
      <c r="A317" s="1">
        <v>350</v>
      </c>
      <c r="B317" t="s">
        <v>515</v>
      </c>
      <c r="C317" t="s">
        <v>555</v>
      </c>
      <c r="D317" t="s">
        <v>509</v>
      </c>
      <c r="E317" t="s">
        <v>556</v>
      </c>
      <c r="F317" t="s">
        <v>28</v>
      </c>
      <c r="G317">
        <v>25</v>
      </c>
      <c r="H317">
        <v>7</v>
      </c>
      <c r="I317">
        <v>58</v>
      </c>
      <c r="J317">
        <v>35</v>
      </c>
      <c r="K317">
        <v>9</v>
      </c>
      <c r="L317">
        <v>21</v>
      </c>
      <c r="M317">
        <v>24</v>
      </c>
      <c r="N317" t="s">
        <v>219</v>
      </c>
      <c r="O317" t="s">
        <v>527</v>
      </c>
      <c r="P317" t="s">
        <v>511</v>
      </c>
      <c r="Q317" t="s">
        <v>512</v>
      </c>
      <c r="R317" t="s">
        <v>513</v>
      </c>
      <c r="S317">
        <v>47</v>
      </c>
      <c r="T317">
        <v>89</v>
      </c>
      <c r="U317">
        <f t="shared" si="17"/>
        <v>-7.04584744877774</v>
      </c>
      <c r="V317">
        <f t="shared" si="18"/>
        <v>-847.467819193859</v>
      </c>
      <c r="W317">
        <f t="shared" si="19"/>
        <v>-7045.84744877774</v>
      </c>
      <c r="X317">
        <f t="shared" si="20"/>
        <v>-2.84385174226127</v>
      </c>
      <c r="Y317">
        <v>25</v>
      </c>
    </row>
    <row r="318" spans="1:25">
      <c r="A318" s="1">
        <v>351</v>
      </c>
      <c r="B318" t="s">
        <v>515</v>
      </c>
      <c r="C318" t="s">
        <v>557</v>
      </c>
      <c r="D318" t="s">
        <v>509</v>
      </c>
      <c r="E318" t="s">
        <v>558</v>
      </c>
      <c r="F318" t="s">
        <v>28</v>
      </c>
      <c r="G318">
        <v>25</v>
      </c>
      <c r="H318">
        <v>7</v>
      </c>
      <c r="I318">
        <v>58</v>
      </c>
      <c r="J318">
        <v>35</v>
      </c>
      <c r="K318">
        <v>9</v>
      </c>
      <c r="L318">
        <v>21</v>
      </c>
      <c r="M318">
        <v>24</v>
      </c>
      <c r="N318" t="s">
        <v>219</v>
      </c>
      <c r="O318" t="s">
        <v>527</v>
      </c>
      <c r="P318" t="s">
        <v>511</v>
      </c>
      <c r="Q318" t="s">
        <v>512</v>
      </c>
      <c r="R318" t="s">
        <v>513</v>
      </c>
      <c r="S318">
        <v>71</v>
      </c>
      <c r="T318">
        <v>89</v>
      </c>
      <c r="U318">
        <f t="shared" si="17"/>
        <v>-7.04584744877774</v>
      </c>
      <c r="V318">
        <f t="shared" si="18"/>
        <v>-847.467819193859</v>
      </c>
      <c r="W318">
        <f t="shared" si="19"/>
        <v>-7045.84744877774</v>
      </c>
      <c r="X318">
        <f t="shared" si="20"/>
        <v>-2.84385174226127</v>
      </c>
      <c r="Y318">
        <v>25</v>
      </c>
    </row>
    <row r="319" spans="1:25">
      <c r="A319" s="1">
        <v>352</v>
      </c>
      <c r="B319" t="s">
        <v>515</v>
      </c>
      <c r="C319" t="s">
        <v>559</v>
      </c>
      <c r="D319" t="s">
        <v>509</v>
      </c>
      <c r="E319" t="s">
        <v>560</v>
      </c>
      <c r="F319" t="s">
        <v>28</v>
      </c>
      <c r="G319">
        <v>25</v>
      </c>
      <c r="H319">
        <v>7</v>
      </c>
      <c r="I319">
        <v>58</v>
      </c>
      <c r="J319">
        <v>35</v>
      </c>
      <c r="K319">
        <v>9</v>
      </c>
      <c r="L319">
        <v>21</v>
      </c>
      <c r="M319">
        <v>24</v>
      </c>
      <c r="N319" t="s">
        <v>219</v>
      </c>
      <c r="O319" t="s">
        <v>527</v>
      </c>
      <c r="P319" t="s">
        <v>511</v>
      </c>
      <c r="Q319" t="s">
        <v>512</v>
      </c>
      <c r="R319" t="s">
        <v>513</v>
      </c>
      <c r="S319">
        <v>82</v>
      </c>
      <c r="T319">
        <v>89</v>
      </c>
      <c r="U319">
        <f t="shared" si="17"/>
        <v>-7.04584744877774</v>
      </c>
      <c r="V319">
        <f t="shared" si="18"/>
        <v>-847.467819193859</v>
      </c>
      <c r="W319">
        <f t="shared" si="19"/>
        <v>-7045.84744877774</v>
      </c>
      <c r="X319">
        <f t="shared" si="20"/>
        <v>-2.84385174226127</v>
      </c>
      <c r="Y319">
        <v>25</v>
      </c>
    </row>
    <row r="320" spans="1:25">
      <c r="A320" s="1">
        <v>353</v>
      </c>
      <c r="B320" t="s">
        <v>515</v>
      </c>
      <c r="C320" t="s">
        <v>561</v>
      </c>
      <c r="D320" t="s">
        <v>509</v>
      </c>
      <c r="E320" t="s">
        <v>562</v>
      </c>
      <c r="F320" t="s">
        <v>28</v>
      </c>
      <c r="G320">
        <v>25</v>
      </c>
      <c r="H320">
        <v>7</v>
      </c>
      <c r="I320">
        <v>58</v>
      </c>
      <c r="J320">
        <v>35</v>
      </c>
      <c r="K320">
        <v>9</v>
      </c>
      <c r="L320">
        <v>21</v>
      </c>
      <c r="M320">
        <v>24</v>
      </c>
      <c r="N320" t="s">
        <v>219</v>
      </c>
      <c r="O320" t="s">
        <v>527</v>
      </c>
      <c r="P320" t="s">
        <v>511</v>
      </c>
      <c r="Q320" t="s">
        <v>512</v>
      </c>
      <c r="R320" t="s">
        <v>513</v>
      </c>
      <c r="S320">
        <v>62</v>
      </c>
      <c r="T320">
        <v>91</v>
      </c>
      <c r="U320">
        <f t="shared" si="17"/>
        <v>-7.5691034911523</v>
      </c>
      <c r="V320">
        <f t="shared" si="18"/>
        <v>-910.404557511703</v>
      </c>
      <c r="W320">
        <f t="shared" si="19"/>
        <v>-7569.1034911523</v>
      </c>
      <c r="X320">
        <f t="shared" si="20"/>
        <v>-3.05504885071041</v>
      </c>
      <c r="Y320">
        <v>25</v>
      </c>
    </row>
    <row r="321" spans="1:25">
      <c r="A321" s="1">
        <v>354</v>
      </c>
      <c r="B321" t="s">
        <v>515</v>
      </c>
      <c r="C321" t="s">
        <v>563</v>
      </c>
      <c r="D321" t="s">
        <v>509</v>
      </c>
      <c r="E321" t="s">
        <v>564</v>
      </c>
      <c r="F321" t="s">
        <v>28</v>
      </c>
      <c r="G321">
        <v>25</v>
      </c>
      <c r="H321">
        <v>7</v>
      </c>
      <c r="I321">
        <v>58</v>
      </c>
      <c r="J321">
        <v>35</v>
      </c>
      <c r="K321">
        <v>9</v>
      </c>
      <c r="L321">
        <v>21</v>
      </c>
      <c r="M321">
        <v>24</v>
      </c>
      <c r="N321" t="s">
        <v>219</v>
      </c>
      <c r="O321" t="s">
        <v>527</v>
      </c>
      <c r="P321" t="s">
        <v>511</v>
      </c>
      <c r="Q321" t="s">
        <v>512</v>
      </c>
      <c r="R321" t="s">
        <v>513</v>
      </c>
      <c r="S321">
        <v>66</v>
      </c>
      <c r="T321">
        <v>90</v>
      </c>
      <c r="U321">
        <f t="shared" si="17"/>
        <v>-7.29505957049136</v>
      </c>
      <c r="V321">
        <f t="shared" si="18"/>
        <v>-877.442815791599</v>
      </c>
      <c r="W321">
        <f t="shared" si="19"/>
        <v>-7295.05957049136</v>
      </c>
      <c r="X321">
        <f t="shared" si="20"/>
        <v>-2.94443897916644</v>
      </c>
      <c r="Y321">
        <v>25</v>
      </c>
    </row>
    <row r="322" spans="1:25">
      <c r="A322" s="1">
        <v>355</v>
      </c>
      <c r="B322" t="s">
        <v>515</v>
      </c>
      <c r="C322" t="s">
        <v>565</v>
      </c>
      <c r="D322" t="s">
        <v>509</v>
      </c>
      <c r="E322" t="s">
        <v>566</v>
      </c>
      <c r="F322" t="s">
        <v>28</v>
      </c>
      <c r="G322">
        <v>25</v>
      </c>
      <c r="H322">
        <v>7</v>
      </c>
      <c r="I322">
        <v>58</v>
      </c>
      <c r="J322">
        <v>35</v>
      </c>
      <c r="K322">
        <v>9</v>
      </c>
      <c r="L322">
        <v>21</v>
      </c>
      <c r="M322">
        <v>24</v>
      </c>
      <c r="N322" t="s">
        <v>219</v>
      </c>
      <c r="O322" t="s">
        <v>527</v>
      </c>
      <c r="P322" t="s">
        <v>511</v>
      </c>
      <c r="Q322" t="s">
        <v>512</v>
      </c>
      <c r="R322" t="s">
        <v>513</v>
      </c>
      <c r="S322">
        <v>70</v>
      </c>
      <c r="T322">
        <v>85</v>
      </c>
      <c r="U322">
        <f t="shared" ref="U322:U385" si="21">LN((1+T322*0.01)/(1-T322*0.01))*-(G322+273)*8.314/1000</f>
        <v>-6.22441806940575</v>
      </c>
      <c r="V322">
        <f t="shared" ref="V322:V385" si="22">LN((1+T322*0.01)/(1-T322*0.01))*-(G322+273)</f>
        <v>-748.667075944882</v>
      </c>
      <c r="W322">
        <f t="shared" ref="W322:W385" si="23">LN((1+T322*0.01)/(1-T322*0.01))*-(G322+273)*8.314</f>
        <v>-6224.41806940575</v>
      </c>
      <c r="X322">
        <f t="shared" si="20"/>
        <v>-2.51230562397611</v>
      </c>
      <c r="Y322">
        <v>25</v>
      </c>
    </row>
    <row r="323" spans="1:25">
      <c r="A323" s="1">
        <v>356</v>
      </c>
      <c r="B323" t="s">
        <v>515</v>
      </c>
      <c r="C323" t="s">
        <v>567</v>
      </c>
      <c r="D323" t="s">
        <v>509</v>
      </c>
      <c r="E323" t="s">
        <v>568</v>
      </c>
      <c r="F323" t="s">
        <v>28</v>
      </c>
      <c r="G323">
        <v>25</v>
      </c>
      <c r="H323">
        <v>7</v>
      </c>
      <c r="I323">
        <v>58</v>
      </c>
      <c r="J323">
        <v>35</v>
      </c>
      <c r="K323">
        <v>9</v>
      </c>
      <c r="L323">
        <v>21</v>
      </c>
      <c r="M323">
        <v>24</v>
      </c>
      <c r="N323" t="s">
        <v>219</v>
      </c>
      <c r="O323" t="s">
        <v>527</v>
      </c>
      <c r="P323" t="s">
        <v>511</v>
      </c>
      <c r="Q323" t="s">
        <v>512</v>
      </c>
      <c r="R323" t="s">
        <v>513</v>
      </c>
      <c r="S323">
        <v>68</v>
      </c>
      <c r="T323">
        <v>87</v>
      </c>
      <c r="U323">
        <f t="shared" si="21"/>
        <v>-6.60560152861296</v>
      </c>
      <c r="V323">
        <f t="shared" si="22"/>
        <v>-794.515459299129</v>
      </c>
      <c r="W323">
        <f t="shared" si="23"/>
        <v>-6605.60152861296</v>
      </c>
      <c r="X323">
        <f t="shared" si="20"/>
        <v>-2.66615925939305</v>
      </c>
      <c r="Y323">
        <v>25</v>
      </c>
    </row>
    <row r="324" spans="1:25">
      <c r="A324" s="1">
        <v>357</v>
      </c>
      <c r="B324" t="s">
        <v>515</v>
      </c>
      <c r="C324" t="s">
        <v>569</v>
      </c>
      <c r="D324" t="s">
        <v>509</v>
      </c>
      <c r="E324" t="s">
        <v>570</v>
      </c>
      <c r="F324" t="s">
        <v>28</v>
      </c>
      <c r="G324">
        <v>25</v>
      </c>
      <c r="H324">
        <v>7</v>
      </c>
      <c r="I324">
        <v>58</v>
      </c>
      <c r="J324">
        <v>35</v>
      </c>
      <c r="K324">
        <v>9</v>
      </c>
      <c r="L324">
        <v>21</v>
      </c>
      <c r="M324">
        <v>24</v>
      </c>
      <c r="N324" t="s">
        <v>219</v>
      </c>
      <c r="O324" t="s">
        <v>527</v>
      </c>
      <c r="P324" t="s">
        <v>511</v>
      </c>
      <c r="Q324" t="s">
        <v>512</v>
      </c>
      <c r="R324" t="s">
        <v>513</v>
      </c>
      <c r="S324">
        <v>51</v>
      </c>
      <c r="T324">
        <v>91</v>
      </c>
      <c r="U324">
        <f t="shared" si="21"/>
        <v>-7.5691034911523</v>
      </c>
      <c r="V324">
        <f t="shared" si="22"/>
        <v>-910.404557511703</v>
      </c>
      <c r="W324">
        <f t="shared" si="23"/>
        <v>-7569.1034911523</v>
      </c>
      <c r="X324">
        <f t="shared" si="20"/>
        <v>-3.05504885071041</v>
      </c>
      <c r="Y324">
        <v>25</v>
      </c>
    </row>
    <row r="325" spans="1:25">
      <c r="A325" s="1">
        <v>358</v>
      </c>
      <c r="B325" t="s">
        <v>515</v>
      </c>
      <c r="C325" t="s">
        <v>571</v>
      </c>
      <c r="D325" t="s">
        <v>509</v>
      </c>
      <c r="E325" t="s">
        <v>572</v>
      </c>
      <c r="F325" t="s">
        <v>28</v>
      </c>
      <c r="G325">
        <v>25</v>
      </c>
      <c r="H325">
        <v>7</v>
      </c>
      <c r="I325">
        <v>58</v>
      </c>
      <c r="J325">
        <v>32</v>
      </c>
      <c r="K325">
        <v>9</v>
      </c>
      <c r="L325">
        <v>21</v>
      </c>
      <c r="M325">
        <v>24</v>
      </c>
      <c r="N325" t="s">
        <v>219</v>
      </c>
      <c r="O325" t="s">
        <v>122</v>
      </c>
      <c r="P325" t="s">
        <v>511</v>
      </c>
      <c r="Q325" t="s">
        <v>512</v>
      </c>
      <c r="R325" t="s">
        <v>513</v>
      </c>
      <c r="S325">
        <v>40</v>
      </c>
      <c r="T325">
        <v>88</v>
      </c>
      <c r="U325">
        <f t="shared" si="21"/>
        <v>-6.81712684860397</v>
      </c>
      <c r="V325">
        <f t="shared" si="22"/>
        <v>-819.957523286501</v>
      </c>
      <c r="W325">
        <f t="shared" si="23"/>
        <v>-6817.12684860397</v>
      </c>
      <c r="X325">
        <f t="shared" si="20"/>
        <v>-2.75153531304195</v>
      </c>
      <c r="Y325">
        <v>25</v>
      </c>
    </row>
    <row r="326" spans="1:25">
      <c r="A326" s="1">
        <v>359</v>
      </c>
      <c r="B326" t="s">
        <v>515</v>
      </c>
      <c r="C326" t="s">
        <v>573</v>
      </c>
      <c r="D326" t="s">
        <v>509</v>
      </c>
      <c r="E326" t="s">
        <v>574</v>
      </c>
      <c r="F326" t="s">
        <v>28</v>
      </c>
      <c r="G326">
        <v>25</v>
      </c>
      <c r="H326">
        <v>7</v>
      </c>
      <c r="I326">
        <v>58</v>
      </c>
      <c r="J326">
        <v>36</v>
      </c>
      <c r="K326">
        <v>9</v>
      </c>
      <c r="L326">
        <v>21</v>
      </c>
      <c r="M326">
        <v>24</v>
      </c>
      <c r="N326" t="s">
        <v>219</v>
      </c>
      <c r="O326" t="s">
        <v>524</v>
      </c>
      <c r="P326" t="s">
        <v>511</v>
      </c>
      <c r="Q326" t="s">
        <v>512</v>
      </c>
      <c r="R326" t="s">
        <v>513</v>
      </c>
      <c r="S326">
        <v>59</v>
      </c>
      <c r="T326">
        <v>85</v>
      </c>
      <c r="U326">
        <f t="shared" si="21"/>
        <v>-6.22441806940575</v>
      </c>
      <c r="V326">
        <f t="shared" si="22"/>
        <v>-748.667075944882</v>
      </c>
      <c r="W326">
        <f t="shared" si="23"/>
        <v>-6224.41806940575</v>
      </c>
      <c r="X326">
        <f t="shared" si="20"/>
        <v>-2.51230562397611</v>
      </c>
      <c r="Y326">
        <v>25</v>
      </c>
    </row>
    <row r="327" spans="1:25">
      <c r="A327" s="1">
        <v>360</v>
      </c>
      <c r="B327" t="s">
        <v>515</v>
      </c>
      <c r="C327" t="s">
        <v>575</v>
      </c>
      <c r="D327" t="s">
        <v>509</v>
      </c>
      <c r="E327" t="s">
        <v>576</v>
      </c>
      <c r="F327" t="s">
        <v>28</v>
      </c>
      <c r="G327">
        <v>25</v>
      </c>
      <c r="H327">
        <v>7</v>
      </c>
      <c r="I327">
        <v>58</v>
      </c>
      <c r="J327">
        <v>32</v>
      </c>
      <c r="K327">
        <v>9</v>
      </c>
      <c r="L327">
        <v>21</v>
      </c>
      <c r="M327">
        <v>24</v>
      </c>
      <c r="N327" t="s">
        <v>219</v>
      </c>
      <c r="O327" t="s">
        <v>122</v>
      </c>
      <c r="P327" t="s">
        <v>511</v>
      </c>
      <c r="Q327" t="s">
        <v>512</v>
      </c>
      <c r="R327" t="s">
        <v>513</v>
      </c>
      <c r="S327">
        <v>31</v>
      </c>
      <c r="T327">
        <v>87</v>
      </c>
      <c r="U327">
        <f t="shared" si="21"/>
        <v>-6.60560152861296</v>
      </c>
      <c r="V327">
        <f t="shared" si="22"/>
        <v>-794.515459299129</v>
      </c>
      <c r="W327">
        <f t="shared" si="23"/>
        <v>-6605.60152861296</v>
      </c>
      <c r="X327">
        <f t="shared" si="20"/>
        <v>-2.66615925939305</v>
      </c>
      <c r="Y327">
        <v>25</v>
      </c>
    </row>
    <row r="328" spans="1:25">
      <c r="A328" s="1">
        <v>361</v>
      </c>
      <c r="B328" t="s">
        <v>515</v>
      </c>
      <c r="C328" t="s">
        <v>577</v>
      </c>
      <c r="D328" t="s">
        <v>578</v>
      </c>
      <c r="E328" t="s">
        <v>579</v>
      </c>
      <c r="F328" t="s">
        <v>28</v>
      </c>
      <c r="G328">
        <v>25</v>
      </c>
      <c r="H328">
        <v>7</v>
      </c>
      <c r="I328">
        <v>58</v>
      </c>
      <c r="J328">
        <v>35</v>
      </c>
      <c r="K328">
        <v>9</v>
      </c>
      <c r="L328">
        <v>21</v>
      </c>
      <c r="M328">
        <v>24</v>
      </c>
      <c r="N328" t="s">
        <v>219</v>
      </c>
      <c r="O328" t="s">
        <v>527</v>
      </c>
      <c r="P328" t="s">
        <v>511</v>
      </c>
      <c r="Q328" t="s">
        <v>512</v>
      </c>
      <c r="R328" t="s">
        <v>513</v>
      </c>
      <c r="S328">
        <v>66</v>
      </c>
      <c r="T328">
        <v>79</v>
      </c>
      <c r="U328">
        <f t="shared" si="21"/>
        <v>-5.3090982806732</v>
      </c>
      <c r="V328">
        <f t="shared" si="22"/>
        <v>-638.573283698965</v>
      </c>
      <c r="W328">
        <f t="shared" si="23"/>
        <v>-5309.0982806732</v>
      </c>
      <c r="X328">
        <f t="shared" si="20"/>
        <v>-2.14286336811733</v>
      </c>
      <c r="Y328">
        <v>25</v>
      </c>
    </row>
    <row r="329" spans="1:25">
      <c r="A329" s="1">
        <v>362</v>
      </c>
      <c r="B329" t="s">
        <v>515</v>
      </c>
      <c r="C329" t="s">
        <v>580</v>
      </c>
      <c r="D329" t="s">
        <v>581</v>
      </c>
      <c r="E329" t="s">
        <v>579</v>
      </c>
      <c r="F329" t="s">
        <v>28</v>
      </c>
      <c r="G329">
        <v>25</v>
      </c>
      <c r="H329">
        <v>7</v>
      </c>
      <c r="I329">
        <v>58</v>
      </c>
      <c r="J329">
        <v>35</v>
      </c>
      <c r="K329">
        <v>9</v>
      </c>
      <c r="L329">
        <v>21</v>
      </c>
      <c r="M329">
        <v>24</v>
      </c>
      <c r="N329" t="s">
        <v>219</v>
      </c>
      <c r="O329" t="s">
        <v>527</v>
      </c>
      <c r="P329" t="s">
        <v>511</v>
      </c>
      <c r="Q329" t="s">
        <v>512</v>
      </c>
      <c r="R329" t="s">
        <v>513</v>
      </c>
      <c r="S329">
        <v>48</v>
      </c>
      <c r="T329">
        <v>81</v>
      </c>
      <c r="U329">
        <f t="shared" si="21"/>
        <v>-5.58459111625598</v>
      </c>
      <c r="V329">
        <f t="shared" si="22"/>
        <v>-671.709299525617</v>
      </c>
      <c r="W329">
        <f t="shared" si="23"/>
        <v>-5584.59111625598</v>
      </c>
      <c r="X329">
        <f t="shared" si="20"/>
        <v>-2.25405805209939</v>
      </c>
      <c r="Y329">
        <v>25</v>
      </c>
    </row>
    <row r="330" spans="1:25">
      <c r="A330" s="1">
        <v>363</v>
      </c>
      <c r="B330" t="s">
        <v>515</v>
      </c>
      <c r="C330" t="s">
        <v>582</v>
      </c>
      <c r="D330" t="s">
        <v>583</v>
      </c>
      <c r="E330" t="s">
        <v>579</v>
      </c>
      <c r="F330" t="s">
        <v>28</v>
      </c>
      <c r="G330">
        <v>25</v>
      </c>
      <c r="H330">
        <v>7</v>
      </c>
      <c r="I330">
        <v>58</v>
      </c>
      <c r="J330">
        <v>36</v>
      </c>
      <c r="K330">
        <v>9</v>
      </c>
      <c r="L330">
        <v>21</v>
      </c>
      <c r="M330">
        <v>24</v>
      </c>
      <c r="N330" t="s">
        <v>219</v>
      </c>
      <c r="O330" t="s">
        <v>524</v>
      </c>
      <c r="P330" t="s">
        <v>511</v>
      </c>
      <c r="Q330" t="s">
        <v>512</v>
      </c>
      <c r="R330" t="s">
        <v>513</v>
      </c>
      <c r="S330">
        <v>45</v>
      </c>
      <c r="T330">
        <v>90</v>
      </c>
      <c r="U330">
        <f t="shared" si="21"/>
        <v>-7.29505957049136</v>
      </c>
      <c r="V330">
        <f t="shared" si="22"/>
        <v>-877.442815791599</v>
      </c>
      <c r="W330">
        <f t="shared" si="23"/>
        <v>-7295.05957049136</v>
      </c>
      <c r="X330">
        <f t="shared" si="20"/>
        <v>-2.94443897916644</v>
      </c>
      <c r="Y330">
        <v>25</v>
      </c>
    </row>
    <row r="331" spans="1:25">
      <c r="A331" s="1">
        <v>364</v>
      </c>
      <c r="B331" t="s">
        <v>515</v>
      </c>
      <c r="C331" t="s">
        <v>584</v>
      </c>
      <c r="D331" t="s">
        <v>585</v>
      </c>
      <c r="E331" t="s">
        <v>579</v>
      </c>
      <c r="F331" t="s">
        <v>28</v>
      </c>
      <c r="G331">
        <v>25</v>
      </c>
      <c r="H331">
        <v>7</v>
      </c>
      <c r="I331">
        <v>58</v>
      </c>
      <c r="J331">
        <v>35</v>
      </c>
      <c r="K331">
        <v>9</v>
      </c>
      <c r="L331">
        <v>21</v>
      </c>
      <c r="M331">
        <v>24</v>
      </c>
      <c r="N331" t="s">
        <v>219</v>
      </c>
      <c r="O331" t="s">
        <v>527</v>
      </c>
      <c r="P331" t="s">
        <v>511</v>
      </c>
      <c r="Q331" t="s">
        <v>512</v>
      </c>
      <c r="R331" t="s">
        <v>513</v>
      </c>
      <c r="S331">
        <v>43</v>
      </c>
      <c r="T331">
        <v>82</v>
      </c>
      <c r="U331">
        <f t="shared" si="21"/>
        <v>-5.73219711875991</v>
      </c>
      <c r="V331">
        <f t="shared" si="22"/>
        <v>-689.463208895828</v>
      </c>
      <c r="W331">
        <f t="shared" si="23"/>
        <v>-5732.19711875991</v>
      </c>
      <c r="X331">
        <f t="shared" si="20"/>
        <v>-2.31363492918063</v>
      </c>
      <c r="Y331">
        <v>25</v>
      </c>
    </row>
    <row r="332" spans="1:25">
      <c r="A332" s="1">
        <v>365</v>
      </c>
      <c r="B332" t="s">
        <v>515</v>
      </c>
      <c r="C332" t="s">
        <v>586</v>
      </c>
      <c r="D332" t="s">
        <v>587</v>
      </c>
      <c r="E332" t="s">
        <v>579</v>
      </c>
      <c r="F332" t="s">
        <v>28</v>
      </c>
      <c r="G332">
        <v>25</v>
      </c>
      <c r="H332">
        <v>7</v>
      </c>
      <c r="I332">
        <v>58</v>
      </c>
      <c r="J332">
        <v>35</v>
      </c>
      <c r="K332">
        <v>9</v>
      </c>
      <c r="L332">
        <v>21</v>
      </c>
      <c r="M332">
        <v>24</v>
      </c>
      <c r="N332" t="s">
        <v>219</v>
      </c>
      <c r="O332" t="s">
        <v>527</v>
      </c>
      <c r="P332" t="s">
        <v>511</v>
      </c>
      <c r="Q332" t="s">
        <v>512</v>
      </c>
      <c r="R332" t="s">
        <v>513</v>
      </c>
      <c r="S332">
        <v>44</v>
      </c>
      <c r="T332">
        <v>86</v>
      </c>
      <c r="U332">
        <f t="shared" si="21"/>
        <v>-6.40870909163543</v>
      </c>
      <c r="V332">
        <f t="shared" si="22"/>
        <v>-770.833424541187</v>
      </c>
      <c r="W332">
        <f t="shared" si="23"/>
        <v>-6408.70909163543</v>
      </c>
      <c r="X332">
        <f t="shared" si="20"/>
        <v>-2.58668934409794</v>
      </c>
      <c r="Y332">
        <v>25</v>
      </c>
    </row>
    <row r="333" spans="1:25">
      <c r="A333" s="1">
        <v>366</v>
      </c>
      <c r="B333" t="s">
        <v>515</v>
      </c>
      <c r="C333" t="s">
        <v>588</v>
      </c>
      <c r="D333" t="s">
        <v>589</v>
      </c>
      <c r="E333" t="s">
        <v>579</v>
      </c>
      <c r="F333" t="s">
        <v>28</v>
      </c>
      <c r="G333">
        <v>25</v>
      </c>
      <c r="H333">
        <v>7</v>
      </c>
      <c r="I333">
        <v>58</v>
      </c>
      <c r="J333">
        <v>35</v>
      </c>
      <c r="K333">
        <v>9</v>
      </c>
      <c r="L333">
        <v>21</v>
      </c>
      <c r="M333">
        <v>24</v>
      </c>
      <c r="N333" t="s">
        <v>219</v>
      </c>
      <c r="O333" t="s">
        <v>527</v>
      </c>
      <c r="P333" t="s">
        <v>511</v>
      </c>
      <c r="Q333" t="s">
        <v>512</v>
      </c>
      <c r="R333" t="s">
        <v>513</v>
      </c>
      <c r="S333">
        <v>60</v>
      </c>
      <c r="T333">
        <v>78</v>
      </c>
      <c r="U333">
        <f t="shared" si="21"/>
        <v>-5.17996160101239</v>
      </c>
      <c r="V333">
        <f t="shared" si="22"/>
        <v>-623.040846886263</v>
      </c>
      <c r="W333">
        <f t="shared" si="23"/>
        <v>-5179.96160101239</v>
      </c>
      <c r="X333">
        <f t="shared" si="20"/>
        <v>-2.09074109693377</v>
      </c>
      <c r="Y333">
        <v>25</v>
      </c>
    </row>
    <row r="334" spans="1:25">
      <c r="A334" s="1">
        <v>367</v>
      </c>
      <c r="B334" t="s">
        <v>515</v>
      </c>
      <c r="C334" t="s">
        <v>590</v>
      </c>
      <c r="D334" t="s">
        <v>591</v>
      </c>
      <c r="E334" t="s">
        <v>579</v>
      </c>
      <c r="F334" t="s">
        <v>28</v>
      </c>
      <c r="G334">
        <v>25</v>
      </c>
      <c r="H334">
        <v>7</v>
      </c>
      <c r="I334">
        <v>58</v>
      </c>
      <c r="J334">
        <v>35</v>
      </c>
      <c r="K334">
        <v>9</v>
      </c>
      <c r="L334">
        <v>21</v>
      </c>
      <c r="M334">
        <v>24</v>
      </c>
      <c r="N334" t="s">
        <v>219</v>
      </c>
      <c r="O334" t="s">
        <v>527</v>
      </c>
      <c r="P334" t="s">
        <v>511</v>
      </c>
      <c r="Q334" t="s">
        <v>512</v>
      </c>
      <c r="R334" t="s">
        <v>513</v>
      </c>
      <c r="S334">
        <v>46</v>
      </c>
      <c r="T334">
        <v>90</v>
      </c>
      <c r="U334">
        <f t="shared" si="21"/>
        <v>-7.29505957049136</v>
      </c>
      <c r="V334">
        <f t="shared" si="22"/>
        <v>-877.442815791599</v>
      </c>
      <c r="W334">
        <f t="shared" si="23"/>
        <v>-7295.05957049136</v>
      </c>
      <c r="X334">
        <f t="shared" si="20"/>
        <v>-2.94443897916644</v>
      </c>
      <c r="Y334">
        <v>25</v>
      </c>
    </row>
    <row r="335" spans="1:25">
      <c r="A335" s="1">
        <v>368</v>
      </c>
      <c r="B335" t="s">
        <v>515</v>
      </c>
      <c r="C335" t="s">
        <v>592</v>
      </c>
      <c r="D335" t="s">
        <v>593</v>
      </c>
      <c r="E335" t="s">
        <v>579</v>
      </c>
      <c r="F335" t="s">
        <v>28</v>
      </c>
      <c r="G335">
        <v>25</v>
      </c>
      <c r="H335">
        <v>7</v>
      </c>
      <c r="I335">
        <v>58</v>
      </c>
      <c r="J335">
        <v>35</v>
      </c>
      <c r="K335">
        <v>9</v>
      </c>
      <c r="L335">
        <v>21</v>
      </c>
      <c r="M335">
        <v>24</v>
      </c>
      <c r="N335" t="s">
        <v>219</v>
      </c>
      <c r="O335" t="s">
        <v>527</v>
      </c>
      <c r="P335" t="s">
        <v>511</v>
      </c>
      <c r="Q335" t="s">
        <v>512</v>
      </c>
      <c r="R335" t="s">
        <v>513</v>
      </c>
      <c r="S335">
        <v>66</v>
      </c>
      <c r="T335">
        <v>77</v>
      </c>
      <c r="U335">
        <f t="shared" si="21"/>
        <v>-5.05587096968439</v>
      </c>
      <c r="V335">
        <f t="shared" si="22"/>
        <v>-608.115343960115</v>
      </c>
      <c r="W335">
        <f t="shared" si="23"/>
        <v>-5055.87096968439</v>
      </c>
      <c r="X335">
        <f t="shared" si="20"/>
        <v>-2.04065551664468</v>
      </c>
      <c r="Y335">
        <v>25</v>
      </c>
    </row>
    <row r="336" spans="1:25">
      <c r="A336" s="1">
        <v>369</v>
      </c>
      <c r="B336" t="s">
        <v>515</v>
      </c>
      <c r="C336" t="s">
        <v>594</v>
      </c>
      <c r="D336" t="s">
        <v>595</v>
      </c>
      <c r="E336" t="s">
        <v>579</v>
      </c>
      <c r="F336" t="s">
        <v>28</v>
      </c>
      <c r="G336">
        <v>25</v>
      </c>
      <c r="H336">
        <v>7</v>
      </c>
      <c r="I336">
        <v>58</v>
      </c>
      <c r="J336">
        <v>35</v>
      </c>
      <c r="K336">
        <v>9</v>
      </c>
      <c r="L336">
        <v>21</v>
      </c>
      <c r="M336">
        <v>24</v>
      </c>
      <c r="N336" t="s">
        <v>219</v>
      </c>
      <c r="O336" t="s">
        <v>527</v>
      </c>
      <c r="P336" t="s">
        <v>511</v>
      </c>
      <c r="Q336" t="s">
        <v>512</v>
      </c>
      <c r="R336" t="s">
        <v>513</v>
      </c>
      <c r="S336">
        <v>42</v>
      </c>
      <c r="T336">
        <v>82</v>
      </c>
      <c r="U336">
        <f t="shared" si="21"/>
        <v>-5.73219711875991</v>
      </c>
      <c r="V336">
        <f t="shared" si="22"/>
        <v>-689.463208895828</v>
      </c>
      <c r="W336">
        <f t="shared" si="23"/>
        <v>-5732.19711875991</v>
      </c>
      <c r="X336">
        <f t="shared" si="20"/>
        <v>-2.31363492918063</v>
      </c>
      <c r="Y336">
        <v>25</v>
      </c>
    </row>
    <row r="337" spans="1:25">
      <c r="A337" s="1">
        <v>371</v>
      </c>
      <c r="B337" t="s">
        <v>515</v>
      </c>
      <c r="C337" t="s">
        <v>596</v>
      </c>
      <c r="D337" t="s">
        <v>597</v>
      </c>
      <c r="E337" t="s">
        <v>560</v>
      </c>
      <c r="F337" t="s">
        <v>28</v>
      </c>
      <c r="G337">
        <v>25</v>
      </c>
      <c r="H337">
        <v>7</v>
      </c>
      <c r="I337">
        <v>58</v>
      </c>
      <c r="J337">
        <v>32</v>
      </c>
      <c r="K337">
        <v>9</v>
      </c>
      <c r="L337">
        <v>21</v>
      </c>
      <c r="M337">
        <v>24</v>
      </c>
      <c r="N337" t="s">
        <v>219</v>
      </c>
      <c r="O337" t="s">
        <v>122</v>
      </c>
      <c r="P337" t="s">
        <v>511</v>
      </c>
      <c r="Q337" t="s">
        <v>512</v>
      </c>
      <c r="R337" t="s">
        <v>513</v>
      </c>
      <c r="S337">
        <v>38</v>
      </c>
      <c r="T337">
        <v>87</v>
      </c>
      <c r="U337">
        <f t="shared" si="21"/>
        <v>-6.60560152861296</v>
      </c>
      <c r="V337">
        <f t="shared" si="22"/>
        <v>-794.515459299129</v>
      </c>
      <c r="W337">
        <f t="shared" si="23"/>
        <v>-6605.60152861296</v>
      </c>
      <c r="X337">
        <f t="shared" si="20"/>
        <v>-2.66615925939305</v>
      </c>
      <c r="Y337">
        <v>25</v>
      </c>
    </row>
    <row r="338" spans="1:25">
      <c r="A338" s="1">
        <v>372</v>
      </c>
      <c r="B338" t="s">
        <v>515</v>
      </c>
      <c r="C338" t="s">
        <v>598</v>
      </c>
      <c r="D338" t="s">
        <v>599</v>
      </c>
      <c r="E338" t="s">
        <v>523</v>
      </c>
      <c r="F338" t="s">
        <v>28</v>
      </c>
      <c r="G338">
        <v>25</v>
      </c>
      <c r="H338">
        <v>7</v>
      </c>
      <c r="I338">
        <v>58</v>
      </c>
      <c r="J338">
        <v>32</v>
      </c>
      <c r="K338">
        <v>9</v>
      </c>
      <c r="L338">
        <v>21</v>
      </c>
      <c r="M338">
        <v>24</v>
      </c>
      <c r="N338" t="s">
        <v>219</v>
      </c>
      <c r="O338" t="s">
        <v>122</v>
      </c>
      <c r="P338" t="s">
        <v>511</v>
      </c>
      <c r="Q338" t="s">
        <v>512</v>
      </c>
      <c r="R338" t="s">
        <v>513</v>
      </c>
      <c r="S338">
        <v>44</v>
      </c>
      <c r="T338">
        <v>44</v>
      </c>
      <c r="U338">
        <f t="shared" si="21"/>
        <v>-2.33997163713905</v>
      </c>
      <c r="V338">
        <f t="shared" si="22"/>
        <v>-281.449559434574</v>
      </c>
      <c r="W338">
        <f t="shared" si="23"/>
        <v>-2339.97163713905</v>
      </c>
      <c r="X338">
        <f t="shared" si="20"/>
        <v>-0.944461608840851</v>
      </c>
      <c r="Y338">
        <v>25</v>
      </c>
    </row>
    <row r="339" spans="1:25">
      <c r="A339" s="1">
        <v>373</v>
      </c>
      <c r="B339" t="s">
        <v>600</v>
      </c>
      <c r="C339" t="s">
        <v>601</v>
      </c>
      <c r="D339" t="s">
        <v>509</v>
      </c>
      <c r="E339" t="s">
        <v>602</v>
      </c>
      <c r="F339" t="s">
        <v>28</v>
      </c>
      <c r="G339">
        <v>25</v>
      </c>
      <c r="H339">
        <v>7</v>
      </c>
      <c r="I339">
        <v>60</v>
      </c>
      <c r="J339">
        <v>32</v>
      </c>
      <c r="K339">
        <v>9</v>
      </c>
      <c r="L339">
        <v>21</v>
      </c>
      <c r="M339">
        <v>24</v>
      </c>
      <c r="N339" t="s">
        <v>603</v>
      </c>
      <c r="O339" t="s">
        <v>122</v>
      </c>
      <c r="P339" t="s">
        <v>511</v>
      </c>
      <c r="Q339" t="s">
        <v>512</v>
      </c>
      <c r="R339" t="s">
        <v>604</v>
      </c>
      <c r="S339">
        <v>79</v>
      </c>
      <c r="T339">
        <v>38</v>
      </c>
      <c r="U339">
        <f t="shared" si="21"/>
        <v>-1.98235317461737</v>
      </c>
      <c r="V339">
        <f t="shared" si="22"/>
        <v>-238.43555143341</v>
      </c>
      <c r="W339">
        <f t="shared" si="23"/>
        <v>-1982.35317461737</v>
      </c>
      <c r="X339">
        <f t="shared" si="20"/>
        <v>-0.800119300112113</v>
      </c>
      <c r="Y339">
        <v>25</v>
      </c>
    </row>
    <row r="340" spans="1:25">
      <c r="A340" s="1">
        <v>374</v>
      </c>
      <c r="B340" t="s">
        <v>605</v>
      </c>
      <c r="C340" t="s">
        <v>601</v>
      </c>
      <c r="D340" t="s">
        <v>509</v>
      </c>
      <c r="E340" t="s">
        <v>602</v>
      </c>
      <c r="F340" t="s">
        <v>28</v>
      </c>
      <c r="G340">
        <v>25</v>
      </c>
      <c r="H340">
        <v>7</v>
      </c>
      <c r="I340">
        <v>60</v>
      </c>
      <c r="J340">
        <v>32</v>
      </c>
      <c r="K340">
        <v>9</v>
      </c>
      <c r="L340">
        <v>21</v>
      </c>
      <c r="M340">
        <v>24</v>
      </c>
      <c r="N340" t="s">
        <v>603</v>
      </c>
      <c r="O340" t="s">
        <v>122</v>
      </c>
      <c r="P340" t="s">
        <v>511</v>
      </c>
      <c r="Q340" t="s">
        <v>512</v>
      </c>
      <c r="R340" t="s">
        <v>604</v>
      </c>
      <c r="S340">
        <v>33</v>
      </c>
      <c r="T340">
        <v>25</v>
      </c>
      <c r="U340">
        <f t="shared" si="21"/>
        <v>-1.26560726232515</v>
      </c>
      <c r="V340">
        <f t="shared" si="22"/>
        <v>-152.226035882265</v>
      </c>
      <c r="W340">
        <f t="shared" si="23"/>
        <v>-1265.60726232515</v>
      </c>
      <c r="X340">
        <f t="shared" si="20"/>
        <v>-0.510825623765991</v>
      </c>
      <c r="Y340">
        <v>25</v>
      </c>
    </row>
    <row r="341" spans="1:25">
      <c r="A341" s="1">
        <v>375</v>
      </c>
      <c r="B341" t="s">
        <v>606</v>
      </c>
      <c r="C341" t="s">
        <v>601</v>
      </c>
      <c r="D341" t="s">
        <v>509</v>
      </c>
      <c r="E341" t="s">
        <v>602</v>
      </c>
      <c r="F341" t="s">
        <v>28</v>
      </c>
      <c r="G341">
        <v>25</v>
      </c>
      <c r="H341">
        <v>7</v>
      </c>
      <c r="I341">
        <v>60</v>
      </c>
      <c r="J341">
        <v>32</v>
      </c>
      <c r="K341">
        <v>9</v>
      </c>
      <c r="L341">
        <v>21</v>
      </c>
      <c r="M341">
        <v>24</v>
      </c>
      <c r="N341" t="s">
        <v>603</v>
      </c>
      <c r="O341" t="s">
        <v>122</v>
      </c>
      <c r="P341" t="s">
        <v>511</v>
      </c>
      <c r="Q341" t="s">
        <v>512</v>
      </c>
      <c r="R341" t="s">
        <v>604</v>
      </c>
      <c r="S341">
        <v>44</v>
      </c>
      <c r="T341">
        <v>85</v>
      </c>
      <c r="U341">
        <f t="shared" si="21"/>
        <v>-6.22441806940575</v>
      </c>
      <c r="V341">
        <f t="shared" si="22"/>
        <v>-748.667075944882</v>
      </c>
      <c r="W341">
        <f t="shared" si="23"/>
        <v>-6224.41806940575</v>
      </c>
      <c r="X341">
        <f t="shared" si="20"/>
        <v>-2.51230562397611</v>
      </c>
      <c r="Y341">
        <v>25</v>
      </c>
    </row>
    <row r="342" spans="1:25">
      <c r="A342" s="1">
        <v>376</v>
      </c>
      <c r="B342" t="s">
        <v>607</v>
      </c>
      <c r="C342" t="s">
        <v>601</v>
      </c>
      <c r="D342" t="s">
        <v>509</v>
      </c>
      <c r="E342" t="s">
        <v>602</v>
      </c>
      <c r="F342" t="s">
        <v>28</v>
      </c>
      <c r="G342">
        <v>25</v>
      </c>
      <c r="H342">
        <v>7</v>
      </c>
      <c r="I342">
        <v>60</v>
      </c>
      <c r="J342">
        <v>32</v>
      </c>
      <c r="K342">
        <v>9</v>
      </c>
      <c r="L342">
        <v>21</v>
      </c>
      <c r="M342">
        <v>24</v>
      </c>
      <c r="N342" t="s">
        <v>603</v>
      </c>
      <c r="O342" t="s">
        <v>122</v>
      </c>
      <c r="P342" t="s">
        <v>511</v>
      </c>
      <c r="Q342" t="s">
        <v>512</v>
      </c>
      <c r="R342" t="s">
        <v>604</v>
      </c>
      <c r="S342">
        <v>62</v>
      </c>
      <c r="T342">
        <v>72</v>
      </c>
      <c r="U342">
        <f t="shared" si="21"/>
        <v>-4.49751159322386</v>
      </c>
      <c r="V342">
        <f t="shared" si="22"/>
        <v>-540.956410058198</v>
      </c>
      <c r="W342">
        <f t="shared" si="23"/>
        <v>-4497.51159322386</v>
      </c>
      <c r="X342">
        <f t="shared" si="20"/>
        <v>-1.81528996663825</v>
      </c>
      <c r="Y342">
        <v>25</v>
      </c>
    </row>
    <row r="343" spans="1:25">
      <c r="A343" s="1">
        <v>377</v>
      </c>
      <c r="B343" t="s">
        <v>608</v>
      </c>
      <c r="C343" t="s">
        <v>601</v>
      </c>
      <c r="D343" t="s">
        <v>509</v>
      </c>
      <c r="E343" t="s">
        <v>602</v>
      </c>
      <c r="F343" t="s">
        <v>28</v>
      </c>
      <c r="G343">
        <v>25</v>
      </c>
      <c r="H343">
        <v>7</v>
      </c>
      <c r="I343">
        <v>60</v>
      </c>
      <c r="J343">
        <v>32</v>
      </c>
      <c r="K343">
        <v>9</v>
      </c>
      <c r="L343">
        <v>21</v>
      </c>
      <c r="M343">
        <v>24</v>
      </c>
      <c r="N343" t="s">
        <v>603</v>
      </c>
      <c r="O343" t="s">
        <v>122</v>
      </c>
      <c r="P343" t="s">
        <v>511</v>
      </c>
      <c r="Q343" t="s">
        <v>512</v>
      </c>
      <c r="R343" t="s">
        <v>604</v>
      </c>
      <c r="S343">
        <v>35</v>
      </c>
      <c r="T343">
        <v>84</v>
      </c>
      <c r="U343">
        <f t="shared" si="21"/>
        <v>-6.05109062911375</v>
      </c>
      <c r="V343">
        <f t="shared" si="22"/>
        <v>-727.819416540023</v>
      </c>
      <c r="W343">
        <f t="shared" si="23"/>
        <v>-6051.09062911375</v>
      </c>
      <c r="X343">
        <f t="shared" si="20"/>
        <v>-2.4423470353692</v>
      </c>
      <c r="Y343">
        <v>25</v>
      </c>
    </row>
    <row r="344" spans="1:25">
      <c r="A344" s="1">
        <v>378</v>
      </c>
      <c r="B344" t="s">
        <v>609</v>
      </c>
      <c r="C344" t="s">
        <v>601</v>
      </c>
      <c r="D344" t="s">
        <v>509</v>
      </c>
      <c r="E344" t="s">
        <v>602</v>
      </c>
      <c r="F344" t="s">
        <v>28</v>
      </c>
      <c r="G344">
        <v>25</v>
      </c>
      <c r="H344">
        <v>7</v>
      </c>
      <c r="I344">
        <v>60</v>
      </c>
      <c r="J344">
        <v>32</v>
      </c>
      <c r="K344">
        <v>9</v>
      </c>
      <c r="L344">
        <v>21</v>
      </c>
      <c r="M344">
        <v>24</v>
      </c>
      <c r="N344" t="s">
        <v>603</v>
      </c>
      <c r="O344" t="s">
        <v>122</v>
      </c>
      <c r="P344" t="s">
        <v>511</v>
      </c>
      <c r="Q344" t="s">
        <v>512</v>
      </c>
      <c r="R344" t="s">
        <v>604</v>
      </c>
      <c r="S344">
        <v>44</v>
      </c>
      <c r="T344">
        <v>85</v>
      </c>
      <c r="U344">
        <f t="shared" si="21"/>
        <v>-6.22441806940575</v>
      </c>
      <c r="V344">
        <f t="shared" si="22"/>
        <v>-748.667075944882</v>
      </c>
      <c r="W344">
        <f t="shared" si="23"/>
        <v>-6224.41806940575</v>
      </c>
      <c r="X344">
        <f t="shared" si="20"/>
        <v>-2.51230562397611</v>
      </c>
      <c r="Y344">
        <v>25</v>
      </c>
    </row>
    <row r="345" spans="1:25">
      <c r="A345" s="1">
        <v>379</v>
      </c>
      <c r="B345" t="s">
        <v>610</v>
      </c>
      <c r="C345" t="s">
        <v>601</v>
      </c>
      <c r="D345" t="s">
        <v>509</v>
      </c>
      <c r="E345" t="s">
        <v>602</v>
      </c>
      <c r="F345" t="s">
        <v>28</v>
      </c>
      <c r="G345">
        <v>25</v>
      </c>
      <c r="H345">
        <v>7</v>
      </c>
      <c r="I345">
        <v>60</v>
      </c>
      <c r="J345">
        <v>32</v>
      </c>
      <c r="K345">
        <v>9</v>
      </c>
      <c r="L345">
        <v>21</v>
      </c>
      <c r="M345">
        <v>24</v>
      </c>
      <c r="N345" t="s">
        <v>603</v>
      </c>
      <c r="O345" t="s">
        <v>122</v>
      </c>
      <c r="P345" t="s">
        <v>511</v>
      </c>
      <c r="Q345" t="s">
        <v>512</v>
      </c>
      <c r="R345" t="s">
        <v>604</v>
      </c>
      <c r="S345">
        <v>44</v>
      </c>
      <c r="T345">
        <v>90</v>
      </c>
      <c r="U345">
        <f t="shared" si="21"/>
        <v>-7.29505957049136</v>
      </c>
      <c r="V345">
        <f t="shared" si="22"/>
        <v>-877.442815791599</v>
      </c>
      <c r="W345">
        <f t="shared" si="23"/>
        <v>-7295.05957049136</v>
      </c>
      <c r="X345">
        <f t="shared" si="20"/>
        <v>-2.94443897916644</v>
      </c>
      <c r="Y345">
        <v>25</v>
      </c>
    </row>
    <row r="346" spans="1:25">
      <c r="A346" s="1">
        <v>380</v>
      </c>
      <c r="B346" t="s">
        <v>610</v>
      </c>
      <c r="C346" t="s">
        <v>601</v>
      </c>
      <c r="D346" t="s">
        <v>509</v>
      </c>
      <c r="E346" t="s">
        <v>602</v>
      </c>
      <c r="F346" t="s">
        <v>28</v>
      </c>
      <c r="G346">
        <v>25</v>
      </c>
      <c r="H346">
        <v>7</v>
      </c>
      <c r="I346">
        <v>60</v>
      </c>
      <c r="J346">
        <v>32</v>
      </c>
      <c r="K346">
        <v>9</v>
      </c>
      <c r="L346">
        <v>21</v>
      </c>
      <c r="M346">
        <v>34</v>
      </c>
      <c r="N346" t="s">
        <v>603</v>
      </c>
      <c r="O346" t="s">
        <v>122</v>
      </c>
      <c r="P346" t="s">
        <v>511</v>
      </c>
      <c r="Q346" t="s">
        <v>512</v>
      </c>
      <c r="R346" t="s">
        <v>604</v>
      </c>
      <c r="S346">
        <v>62</v>
      </c>
      <c r="T346">
        <v>89</v>
      </c>
      <c r="U346">
        <f t="shared" si="21"/>
        <v>-7.04584744877774</v>
      </c>
      <c r="V346">
        <f t="shared" si="22"/>
        <v>-847.467819193859</v>
      </c>
      <c r="W346">
        <f t="shared" si="23"/>
        <v>-7045.84744877774</v>
      </c>
      <c r="X346">
        <f t="shared" si="20"/>
        <v>-2.84385174226127</v>
      </c>
      <c r="Y346">
        <v>25</v>
      </c>
    </row>
    <row r="347" spans="1:25">
      <c r="A347" s="1">
        <v>381</v>
      </c>
      <c r="B347" t="s">
        <v>610</v>
      </c>
      <c r="C347" t="s">
        <v>601</v>
      </c>
      <c r="D347" t="s">
        <v>509</v>
      </c>
      <c r="E347" t="s">
        <v>602</v>
      </c>
      <c r="F347" t="s">
        <v>28</v>
      </c>
      <c r="G347">
        <v>25</v>
      </c>
      <c r="H347">
        <v>7</v>
      </c>
      <c r="I347">
        <v>60</v>
      </c>
      <c r="J347">
        <v>32</v>
      </c>
      <c r="K347">
        <v>9</v>
      </c>
      <c r="L347">
        <v>21</v>
      </c>
      <c r="M347">
        <v>96</v>
      </c>
      <c r="N347" t="s">
        <v>603</v>
      </c>
      <c r="O347" t="s">
        <v>122</v>
      </c>
      <c r="P347" t="s">
        <v>511</v>
      </c>
      <c r="Q347" t="s">
        <v>512</v>
      </c>
      <c r="R347" t="s">
        <v>604</v>
      </c>
      <c r="S347">
        <v>62</v>
      </c>
      <c r="T347">
        <v>85</v>
      </c>
      <c r="U347">
        <f t="shared" si="21"/>
        <v>-6.22441806940575</v>
      </c>
      <c r="V347">
        <f t="shared" si="22"/>
        <v>-748.667075944882</v>
      </c>
      <c r="W347">
        <f t="shared" si="23"/>
        <v>-6224.41806940575</v>
      </c>
      <c r="X347">
        <f t="shared" si="20"/>
        <v>-2.51230562397611</v>
      </c>
      <c r="Y347">
        <v>25</v>
      </c>
    </row>
    <row r="348" spans="1:25">
      <c r="A348" s="1">
        <v>382</v>
      </c>
      <c r="B348" t="s">
        <v>610</v>
      </c>
      <c r="C348" t="s">
        <v>611</v>
      </c>
      <c r="D348" t="s">
        <v>509</v>
      </c>
      <c r="E348" t="s">
        <v>612</v>
      </c>
      <c r="F348" t="s">
        <v>28</v>
      </c>
      <c r="G348">
        <v>25</v>
      </c>
      <c r="H348">
        <v>7</v>
      </c>
      <c r="I348">
        <v>60</v>
      </c>
      <c r="J348">
        <v>32</v>
      </c>
      <c r="K348">
        <v>9</v>
      </c>
      <c r="L348">
        <v>21</v>
      </c>
      <c r="M348">
        <v>34</v>
      </c>
      <c r="N348" t="s">
        <v>603</v>
      </c>
      <c r="O348" t="s">
        <v>122</v>
      </c>
      <c r="P348" t="s">
        <v>511</v>
      </c>
      <c r="Q348" t="s">
        <v>512</v>
      </c>
      <c r="R348" t="s">
        <v>604</v>
      </c>
      <c r="S348">
        <v>58</v>
      </c>
      <c r="T348">
        <v>90</v>
      </c>
      <c r="U348">
        <f t="shared" si="21"/>
        <v>-7.29505957049136</v>
      </c>
      <c r="V348">
        <f t="shared" si="22"/>
        <v>-877.442815791599</v>
      </c>
      <c r="W348">
        <f t="shared" si="23"/>
        <v>-7295.05957049136</v>
      </c>
      <c r="X348">
        <f t="shared" si="20"/>
        <v>-2.94443897916644</v>
      </c>
      <c r="Y348">
        <v>25</v>
      </c>
    </row>
    <row r="349" spans="1:25">
      <c r="A349" s="1">
        <v>383</v>
      </c>
      <c r="B349" t="s">
        <v>610</v>
      </c>
      <c r="C349" t="s">
        <v>613</v>
      </c>
      <c r="D349" t="s">
        <v>509</v>
      </c>
      <c r="E349" t="s">
        <v>614</v>
      </c>
      <c r="F349" t="s">
        <v>28</v>
      </c>
      <c r="G349">
        <v>25</v>
      </c>
      <c r="H349">
        <v>7</v>
      </c>
      <c r="I349">
        <v>60</v>
      </c>
      <c r="J349">
        <v>32</v>
      </c>
      <c r="K349">
        <v>9</v>
      </c>
      <c r="L349">
        <v>21</v>
      </c>
      <c r="M349">
        <v>34</v>
      </c>
      <c r="N349" t="s">
        <v>603</v>
      </c>
      <c r="O349" t="s">
        <v>122</v>
      </c>
      <c r="P349" t="s">
        <v>511</v>
      </c>
      <c r="Q349" t="s">
        <v>512</v>
      </c>
      <c r="R349" t="s">
        <v>604</v>
      </c>
      <c r="S349">
        <v>61</v>
      </c>
      <c r="T349">
        <v>90</v>
      </c>
      <c r="U349">
        <f t="shared" si="21"/>
        <v>-7.29505957049136</v>
      </c>
      <c r="V349">
        <f t="shared" si="22"/>
        <v>-877.442815791599</v>
      </c>
      <c r="W349">
        <f t="shared" si="23"/>
        <v>-7295.05957049136</v>
      </c>
      <c r="X349">
        <f t="shared" si="20"/>
        <v>-2.94443897916644</v>
      </c>
      <c r="Y349">
        <v>25</v>
      </c>
    </row>
    <row r="350" spans="1:25">
      <c r="A350" s="1">
        <v>384</v>
      </c>
      <c r="B350" t="s">
        <v>610</v>
      </c>
      <c r="C350" t="s">
        <v>615</v>
      </c>
      <c r="D350" t="s">
        <v>509</v>
      </c>
      <c r="E350" t="s">
        <v>616</v>
      </c>
      <c r="F350" t="s">
        <v>28</v>
      </c>
      <c r="G350">
        <v>25</v>
      </c>
      <c r="H350">
        <v>7</v>
      </c>
      <c r="I350">
        <v>60</v>
      </c>
      <c r="J350">
        <v>32</v>
      </c>
      <c r="K350">
        <v>9</v>
      </c>
      <c r="L350">
        <v>21</v>
      </c>
      <c r="M350">
        <v>34</v>
      </c>
      <c r="N350" t="s">
        <v>603</v>
      </c>
      <c r="O350" t="s">
        <v>122</v>
      </c>
      <c r="P350" t="s">
        <v>511</v>
      </c>
      <c r="Q350" t="s">
        <v>512</v>
      </c>
      <c r="R350" t="s">
        <v>604</v>
      </c>
      <c r="S350">
        <v>84</v>
      </c>
      <c r="T350">
        <v>91</v>
      </c>
      <c r="U350">
        <f t="shared" si="21"/>
        <v>-7.5691034911523</v>
      </c>
      <c r="V350">
        <f t="shared" si="22"/>
        <v>-910.404557511703</v>
      </c>
      <c r="W350">
        <f t="shared" si="23"/>
        <v>-7569.1034911523</v>
      </c>
      <c r="X350">
        <f t="shared" si="20"/>
        <v>-3.05504885071041</v>
      </c>
      <c r="Y350">
        <v>25</v>
      </c>
    </row>
    <row r="351" spans="1:25">
      <c r="A351" s="1">
        <v>385</v>
      </c>
      <c r="B351" t="s">
        <v>610</v>
      </c>
      <c r="C351" t="s">
        <v>617</v>
      </c>
      <c r="D351" t="s">
        <v>509</v>
      </c>
      <c r="E351" t="s">
        <v>618</v>
      </c>
      <c r="F351" t="s">
        <v>28</v>
      </c>
      <c r="G351">
        <v>25</v>
      </c>
      <c r="H351">
        <v>7</v>
      </c>
      <c r="I351">
        <v>60</v>
      </c>
      <c r="J351">
        <v>32</v>
      </c>
      <c r="K351">
        <v>9</v>
      </c>
      <c r="L351">
        <v>21</v>
      </c>
      <c r="M351">
        <v>34</v>
      </c>
      <c r="N351" t="s">
        <v>603</v>
      </c>
      <c r="O351" t="s">
        <v>122</v>
      </c>
      <c r="P351" t="s">
        <v>511</v>
      </c>
      <c r="Q351" t="s">
        <v>512</v>
      </c>
      <c r="R351" t="s">
        <v>604</v>
      </c>
      <c r="S351">
        <v>45</v>
      </c>
      <c r="T351">
        <v>89</v>
      </c>
      <c r="U351">
        <f t="shared" si="21"/>
        <v>-7.04584744877774</v>
      </c>
      <c r="V351">
        <f t="shared" si="22"/>
        <v>-847.467819193859</v>
      </c>
      <c r="W351">
        <f t="shared" si="23"/>
        <v>-7045.84744877774</v>
      </c>
      <c r="X351">
        <f t="shared" ref="X351:X406" si="24">-LN((1+T351*0.01)/(1-T351*0.01))</f>
        <v>-2.84385174226127</v>
      </c>
      <c r="Y351">
        <v>25</v>
      </c>
    </row>
    <row r="352" spans="1:25">
      <c r="A352" s="1">
        <v>386</v>
      </c>
      <c r="B352" t="s">
        <v>610</v>
      </c>
      <c r="C352" t="s">
        <v>619</v>
      </c>
      <c r="D352" t="s">
        <v>509</v>
      </c>
      <c r="E352" t="s">
        <v>620</v>
      </c>
      <c r="F352" t="s">
        <v>28</v>
      </c>
      <c r="G352">
        <v>25</v>
      </c>
      <c r="H352">
        <v>7</v>
      </c>
      <c r="I352">
        <v>60</v>
      </c>
      <c r="J352">
        <v>32</v>
      </c>
      <c r="K352">
        <v>9</v>
      </c>
      <c r="L352">
        <v>21</v>
      </c>
      <c r="M352">
        <v>34</v>
      </c>
      <c r="N352" t="s">
        <v>603</v>
      </c>
      <c r="O352" t="s">
        <v>122</v>
      </c>
      <c r="P352" t="s">
        <v>511</v>
      </c>
      <c r="Q352" t="s">
        <v>512</v>
      </c>
      <c r="R352" t="s">
        <v>604</v>
      </c>
      <c r="S352">
        <v>71</v>
      </c>
      <c r="T352">
        <v>87</v>
      </c>
      <c r="U352">
        <f t="shared" si="21"/>
        <v>-6.60560152861296</v>
      </c>
      <c r="V352">
        <f t="shared" si="22"/>
        <v>-794.515459299129</v>
      </c>
      <c r="W352">
        <f t="shared" si="23"/>
        <v>-6605.60152861296</v>
      </c>
      <c r="X352">
        <f t="shared" si="24"/>
        <v>-2.66615925939305</v>
      </c>
      <c r="Y352">
        <v>25</v>
      </c>
    </row>
    <row r="353" spans="1:25">
      <c r="A353" s="1">
        <v>387</v>
      </c>
      <c r="B353" t="s">
        <v>610</v>
      </c>
      <c r="C353" t="s">
        <v>621</v>
      </c>
      <c r="D353" t="s">
        <v>509</v>
      </c>
      <c r="E353" t="s">
        <v>622</v>
      </c>
      <c r="F353" t="s">
        <v>28</v>
      </c>
      <c r="G353">
        <v>25</v>
      </c>
      <c r="H353">
        <v>7</v>
      </c>
      <c r="I353">
        <v>60</v>
      </c>
      <c r="J353">
        <v>32</v>
      </c>
      <c r="K353">
        <v>9</v>
      </c>
      <c r="L353">
        <v>21</v>
      </c>
      <c r="M353">
        <v>34</v>
      </c>
      <c r="N353" t="s">
        <v>603</v>
      </c>
      <c r="O353" t="s">
        <v>122</v>
      </c>
      <c r="P353" t="s">
        <v>511</v>
      </c>
      <c r="Q353" t="s">
        <v>512</v>
      </c>
      <c r="R353" t="s">
        <v>604</v>
      </c>
      <c r="S353">
        <v>50</v>
      </c>
      <c r="T353">
        <v>86</v>
      </c>
      <c r="U353">
        <f t="shared" si="21"/>
        <v>-6.40870909163543</v>
      </c>
      <c r="V353">
        <f t="shared" si="22"/>
        <v>-770.833424541187</v>
      </c>
      <c r="W353">
        <f t="shared" si="23"/>
        <v>-6408.70909163543</v>
      </c>
      <c r="X353">
        <f t="shared" si="24"/>
        <v>-2.58668934409794</v>
      </c>
      <c r="Y353">
        <v>25</v>
      </c>
    </row>
    <row r="354" spans="1:25">
      <c r="A354" s="1">
        <v>388</v>
      </c>
      <c r="B354" t="s">
        <v>610</v>
      </c>
      <c r="C354" t="s">
        <v>623</v>
      </c>
      <c r="D354" t="s">
        <v>509</v>
      </c>
      <c r="E354" t="s">
        <v>624</v>
      </c>
      <c r="F354" t="s">
        <v>28</v>
      </c>
      <c r="G354">
        <v>25</v>
      </c>
      <c r="H354">
        <v>7</v>
      </c>
      <c r="I354">
        <v>60</v>
      </c>
      <c r="J354">
        <v>32</v>
      </c>
      <c r="K354">
        <v>9</v>
      </c>
      <c r="L354">
        <v>21</v>
      </c>
      <c r="M354">
        <v>34</v>
      </c>
      <c r="N354" t="s">
        <v>603</v>
      </c>
      <c r="O354" t="s">
        <v>122</v>
      </c>
      <c r="P354" t="s">
        <v>511</v>
      </c>
      <c r="Q354" t="s">
        <v>512</v>
      </c>
      <c r="R354" t="s">
        <v>604</v>
      </c>
      <c r="S354">
        <v>82</v>
      </c>
      <c r="T354">
        <v>91</v>
      </c>
      <c r="U354">
        <f t="shared" si="21"/>
        <v>-7.5691034911523</v>
      </c>
      <c r="V354">
        <f t="shared" si="22"/>
        <v>-910.404557511703</v>
      </c>
      <c r="W354">
        <f t="shared" si="23"/>
        <v>-7569.1034911523</v>
      </c>
      <c r="X354">
        <f t="shared" si="24"/>
        <v>-3.05504885071041</v>
      </c>
      <c r="Y354">
        <v>25</v>
      </c>
    </row>
    <row r="355" spans="1:25">
      <c r="A355" s="1">
        <v>389</v>
      </c>
      <c r="B355" t="s">
        <v>610</v>
      </c>
      <c r="C355" t="s">
        <v>625</v>
      </c>
      <c r="D355" t="s">
        <v>509</v>
      </c>
      <c r="E355" t="s">
        <v>626</v>
      </c>
      <c r="F355" t="s">
        <v>28</v>
      </c>
      <c r="G355">
        <v>25</v>
      </c>
      <c r="H355">
        <v>7</v>
      </c>
      <c r="I355">
        <v>60</v>
      </c>
      <c r="J355">
        <v>32</v>
      </c>
      <c r="K355">
        <v>9</v>
      </c>
      <c r="L355">
        <v>21</v>
      </c>
      <c r="M355">
        <v>34</v>
      </c>
      <c r="N355" t="s">
        <v>603</v>
      </c>
      <c r="O355" t="s">
        <v>122</v>
      </c>
      <c r="P355" t="s">
        <v>511</v>
      </c>
      <c r="Q355" t="s">
        <v>512</v>
      </c>
      <c r="R355" t="s">
        <v>604</v>
      </c>
      <c r="S355">
        <v>87</v>
      </c>
      <c r="T355">
        <v>88</v>
      </c>
      <c r="U355">
        <f t="shared" si="21"/>
        <v>-6.81712684860397</v>
      </c>
      <c r="V355">
        <f t="shared" si="22"/>
        <v>-819.957523286501</v>
      </c>
      <c r="W355">
        <f t="shared" si="23"/>
        <v>-6817.12684860397</v>
      </c>
      <c r="X355">
        <f t="shared" si="24"/>
        <v>-2.75153531304195</v>
      </c>
      <c r="Y355">
        <v>25</v>
      </c>
    </row>
    <row r="356" spans="1:25">
      <c r="A356" s="1">
        <v>390</v>
      </c>
      <c r="B356" t="s">
        <v>610</v>
      </c>
      <c r="C356" t="s">
        <v>627</v>
      </c>
      <c r="D356" t="s">
        <v>509</v>
      </c>
      <c r="E356" t="s">
        <v>628</v>
      </c>
      <c r="F356" t="s">
        <v>28</v>
      </c>
      <c r="G356">
        <v>25</v>
      </c>
      <c r="H356">
        <v>7</v>
      </c>
      <c r="I356">
        <v>60</v>
      </c>
      <c r="J356">
        <v>32</v>
      </c>
      <c r="K356">
        <v>9</v>
      </c>
      <c r="L356">
        <v>21</v>
      </c>
      <c r="M356">
        <v>34</v>
      </c>
      <c r="N356" t="s">
        <v>603</v>
      </c>
      <c r="O356" t="s">
        <v>122</v>
      </c>
      <c r="P356" t="s">
        <v>511</v>
      </c>
      <c r="Q356" t="s">
        <v>512</v>
      </c>
      <c r="R356" t="s">
        <v>604</v>
      </c>
      <c r="S356">
        <v>67</v>
      </c>
      <c r="T356">
        <v>89</v>
      </c>
      <c r="U356">
        <f t="shared" si="21"/>
        <v>-7.04584744877774</v>
      </c>
      <c r="V356">
        <f t="shared" si="22"/>
        <v>-847.467819193859</v>
      </c>
      <c r="W356">
        <f t="shared" si="23"/>
        <v>-7045.84744877774</v>
      </c>
      <c r="X356">
        <f t="shared" si="24"/>
        <v>-2.84385174226127</v>
      </c>
      <c r="Y356">
        <v>25</v>
      </c>
    </row>
    <row r="357" spans="1:25">
      <c r="A357" s="1">
        <v>391</v>
      </c>
      <c r="B357" t="s">
        <v>610</v>
      </c>
      <c r="C357" t="s">
        <v>629</v>
      </c>
      <c r="D357" t="s">
        <v>509</v>
      </c>
      <c r="E357" t="s">
        <v>630</v>
      </c>
      <c r="F357" t="s">
        <v>28</v>
      </c>
      <c r="G357">
        <v>25</v>
      </c>
      <c r="H357">
        <v>7</v>
      </c>
      <c r="I357">
        <v>60</v>
      </c>
      <c r="J357">
        <v>32</v>
      </c>
      <c r="K357">
        <v>9</v>
      </c>
      <c r="L357">
        <v>21</v>
      </c>
      <c r="M357">
        <v>34</v>
      </c>
      <c r="N357" t="s">
        <v>603</v>
      </c>
      <c r="O357" t="s">
        <v>122</v>
      </c>
      <c r="P357" t="s">
        <v>511</v>
      </c>
      <c r="Q357" t="s">
        <v>512</v>
      </c>
      <c r="R357" t="s">
        <v>604</v>
      </c>
      <c r="S357">
        <v>63</v>
      </c>
      <c r="T357">
        <v>90</v>
      </c>
      <c r="U357">
        <f t="shared" si="21"/>
        <v>-7.29505957049136</v>
      </c>
      <c r="V357">
        <f t="shared" si="22"/>
        <v>-877.442815791599</v>
      </c>
      <c r="W357">
        <f t="shared" si="23"/>
        <v>-7295.05957049136</v>
      </c>
      <c r="X357">
        <f t="shared" si="24"/>
        <v>-2.94443897916644</v>
      </c>
      <c r="Y357">
        <v>25</v>
      </c>
    </row>
    <row r="358" spans="1:25">
      <c r="A358" s="1">
        <v>392</v>
      </c>
      <c r="B358" t="s">
        <v>610</v>
      </c>
      <c r="C358" t="s">
        <v>631</v>
      </c>
      <c r="D358" t="s">
        <v>509</v>
      </c>
      <c r="E358" t="s">
        <v>632</v>
      </c>
      <c r="F358" t="s">
        <v>28</v>
      </c>
      <c r="G358">
        <v>25</v>
      </c>
      <c r="H358">
        <v>7</v>
      </c>
      <c r="I358">
        <v>60</v>
      </c>
      <c r="J358">
        <v>32</v>
      </c>
      <c r="K358">
        <v>9</v>
      </c>
      <c r="L358">
        <v>21</v>
      </c>
      <c r="M358">
        <v>34</v>
      </c>
      <c r="N358" t="s">
        <v>603</v>
      </c>
      <c r="O358" t="s">
        <v>122</v>
      </c>
      <c r="P358" t="s">
        <v>511</v>
      </c>
      <c r="Q358" t="s">
        <v>512</v>
      </c>
      <c r="R358" t="s">
        <v>604</v>
      </c>
      <c r="S358">
        <v>59</v>
      </c>
      <c r="T358">
        <v>80</v>
      </c>
      <c r="U358">
        <f t="shared" si="21"/>
        <v>-5.44378209052005</v>
      </c>
      <c r="V358">
        <f t="shared" si="22"/>
        <v>-654.772924046193</v>
      </c>
      <c r="W358">
        <f t="shared" si="23"/>
        <v>-5443.78209052005</v>
      </c>
      <c r="X358">
        <f t="shared" si="24"/>
        <v>-2.19722457733622</v>
      </c>
      <c r="Y358">
        <v>25</v>
      </c>
    </row>
    <row r="359" spans="1:25">
      <c r="A359" s="1">
        <v>393</v>
      </c>
      <c r="B359" t="s">
        <v>610</v>
      </c>
      <c r="C359" t="s">
        <v>633</v>
      </c>
      <c r="D359" t="s">
        <v>509</v>
      </c>
      <c r="E359" t="s">
        <v>634</v>
      </c>
      <c r="F359" t="s">
        <v>28</v>
      </c>
      <c r="G359">
        <v>25</v>
      </c>
      <c r="H359">
        <v>7</v>
      </c>
      <c r="I359">
        <v>60</v>
      </c>
      <c r="J359">
        <v>32</v>
      </c>
      <c r="K359">
        <v>9</v>
      </c>
      <c r="L359">
        <v>21</v>
      </c>
      <c r="M359">
        <v>34</v>
      </c>
      <c r="N359" t="s">
        <v>603</v>
      </c>
      <c r="O359" t="s">
        <v>122</v>
      </c>
      <c r="P359" t="s">
        <v>511</v>
      </c>
      <c r="Q359" t="s">
        <v>512</v>
      </c>
      <c r="R359" t="s">
        <v>604</v>
      </c>
      <c r="S359">
        <v>59</v>
      </c>
      <c r="T359">
        <v>87</v>
      </c>
      <c r="U359">
        <f t="shared" si="21"/>
        <v>-6.60560152861296</v>
      </c>
      <c r="V359">
        <f t="shared" si="22"/>
        <v>-794.515459299129</v>
      </c>
      <c r="W359">
        <f t="shared" si="23"/>
        <v>-6605.60152861296</v>
      </c>
      <c r="X359">
        <f t="shared" si="24"/>
        <v>-2.66615925939305</v>
      </c>
      <c r="Y359">
        <v>25</v>
      </c>
    </row>
    <row r="360" spans="1:25">
      <c r="A360" s="1">
        <v>394</v>
      </c>
      <c r="B360" t="s">
        <v>610</v>
      </c>
      <c r="C360" t="s">
        <v>635</v>
      </c>
      <c r="D360" t="s">
        <v>509</v>
      </c>
      <c r="E360" t="s">
        <v>636</v>
      </c>
      <c r="F360" t="s">
        <v>28</v>
      </c>
      <c r="G360">
        <v>25</v>
      </c>
      <c r="H360">
        <v>7</v>
      </c>
      <c r="I360">
        <v>60</v>
      </c>
      <c r="J360">
        <v>32</v>
      </c>
      <c r="K360">
        <v>9</v>
      </c>
      <c r="L360">
        <v>21</v>
      </c>
      <c r="M360">
        <v>34</v>
      </c>
      <c r="N360" t="s">
        <v>603</v>
      </c>
      <c r="O360" t="s">
        <v>122</v>
      </c>
      <c r="P360" t="s">
        <v>511</v>
      </c>
      <c r="Q360" t="s">
        <v>512</v>
      </c>
      <c r="R360" t="s">
        <v>604</v>
      </c>
      <c r="S360">
        <v>34</v>
      </c>
      <c r="T360">
        <v>91</v>
      </c>
      <c r="U360">
        <f t="shared" si="21"/>
        <v>-7.5691034911523</v>
      </c>
      <c r="V360">
        <f t="shared" si="22"/>
        <v>-910.404557511703</v>
      </c>
      <c r="W360">
        <f t="shared" si="23"/>
        <v>-7569.1034911523</v>
      </c>
      <c r="X360">
        <f t="shared" si="24"/>
        <v>-3.05504885071041</v>
      </c>
      <c r="Y360">
        <v>25</v>
      </c>
    </row>
    <row r="361" spans="1:25">
      <c r="A361" s="1">
        <v>395</v>
      </c>
      <c r="B361" t="s">
        <v>610</v>
      </c>
      <c r="C361" t="s">
        <v>637</v>
      </c>
      <c r="D361" t="s">
        <v>509</v>
      </c>
      <c r="E361" t="s">
        <v>638</v>
      </c>
      <c r="F361" t="s">
        <v>28</v>
      </c>
      <c r="G361">
        <v>25</v>
      </c>
      <c r="H361">
        <v>7</v>
      </c>
      <c r="I361">
        <v>60</v>
      </c>
      <c r="J361">
        <v>32</v>
      </c>
      <c r="K361">
        <v>9</v>
      </c>
      <c r="L361">
        <v>21</v>
      </c>
      <c r="M361">
        <v>34</v>
      </c>
      <c r="N361" t="s">
        <v>603</v>
      </c>
      <c r="O361" t="s">
        <v>122</v>
      </c>
      <c r="P361" t="s">
        <v>511</v>
      </c>
      <c r="Q361" t="s">
        <v>512</v>
      </c>
      <c r="R361" t="s">
        <v>604</v>
      </c>
      <c r="S361">
        <v>66</v>
      </c>
      <c r="T361">
        <v>85</v>
      </c>
      <c r="U361">
        <f t="shared" si="21"/>
        <v>-6.22441806940575</v>
      </c>
      <c r="V361">
        <f t="shared" si="22"/>
        <v>-748.667075944882</v>
      </c>
      <c r="W361">
        <f t="shared" si="23"/>
        <v>-6224.41806940575</v>
      </c>
      <c r="X361">
        <f t="shared" si="24"/>
        <v>-2.51230562397611</v>
      </c>
      <c r="Y361">
        <v>25</v>
      </c>
    </row>
    <row r="362" spans="1:25">
      <c r="A362" s="1">
        <v>396</v>
      </c>
      <c r="B362" t="s">
        <v>610</v>
      </c>
      <c r="C362" t="s">
        <v>639</v>
      </c>
      <c r="D362" t="s">
        <v>509</v>
      </c>
      <c r="E362" t="s">
        <v>640</v>
      </c>
      <c r="F362" t="s">
        <v>28</v>
      </c>
      <c r="G362">
        <v>25</v>
      </c>
      <c r="H362">
        <v>7</v>
      </c>
      <c r="I362">
        <v>60</v>
      </c>
      <c r="J362">
        <v>32</v>
      </c>
      <c r="K362">
        <v>9</v>
      </c>
      <c r="L362">
        <v>21</v>
      </c>
      <c r="M362">
        <v>34</v>
      </c>
      <c r="N362" t="s">
        <v>603</v>
      </c>
      <c r="O362" t="s">
        <v>122</v>
      </c>
      <c r="P362" t="s">
        <v>511</v>
      </c>
      <c r="Q362" t="s">
        <v>512</v>
      </c>
      <c r="R362" t="s">
        <v>604</v>
      </c>
      <c r="S362">
        <v>46</v>
      </c>
      <c r="T362">
        <v>90</v>
      </c>
      <c r="U362">
        <f t="shared" si="21"/>
        <v>-7.29505957049136</v>
      </c>
      <c r="V362">
        <f t="shared" si="22"/>
        <v>-877.442815791599</v>
      </c>
      <c r="W362">
        <f t="shared" si="23"/>
        <v>-7295.05957049136</v>
      </c>
      <c r="X362">
        <f t="shared" si="24"/>
        <v>-2.94443897916644</v>
      </c>
      <c r="Y362">
        <v>25</v>
      </c>
    </row>
    <row r="363" spans="1:25">
      <c r="A363" s="1">
        <v>397</v>
      </c>
      <c r="B363" t="s">
        <v>610</v>
      </c>
      <c r="C363" t="s">
        <v>641</v>
      </c>
      <c r="D363" t="s">
        <v>509</v>
      </c>
      <c r="E363" t="s">
        <v>642</v>
      </c>
      <c r="F363" t="s">
        <v>28</v>
      </c>
      <c r="G363">
        <v>25</v>
      </c>
      <c r="H363">
        <v>7</v>
      </c>
      <c r="I363">
        <v>60</v>
      </c>
      <c r="J363">
        <v>32</v>
      </c>
      <c r="K363">
        <v>9</v>
      </c>
      <c r="L363">
        <v>21</v>
      </c>
      <c r="M363">
        <v>34</v>
      </c>
      <c r="N363" t="s">
        <v>603</v>
      </c>
      <c r="O363" t="s">
        <v>122</v>
      </c>
      <c r="P363" t="s">
        <v>511</v>
      </c>
      <c r="Q363" t="s">
        <v>512</v>
      </c>
      <c r="R363" t="s">
        <v>604</v>
      </c>
      <c r="S363">
        <v>73</v>
      </c>
      <c r="T363">
        <v>81</v>
      </c>
      <c r="U363">
        <f t="shared" si="21"/>
        <v>-5.58459111625598</v>
      </c>
      <c r="V363">
        <f t="shared" si="22"/>
        <v>-671.709299525617</v>
      </c>
      <c r="W363">
        <f t="shared" si="23"/>
        <v>-5584.59111625598</v>
      </c>
      <c r="X363">
        <f t="shared" si="24"/>
        <v>-2.25405805209939</v>
      </c>
      <c r="Y363">
        <v>25</v>
      </c>
    </row>
    <row r="364" spans="1:25">
      <c r="A364" s="1">
        <v>398</v>
      </c>
      <c r="B364" t="s">
        <v>610</v>
      </c>
      <c r="C364" t="s">
        <v>643</v>
      </c>
      <c r="D364" t="s">
        <v>509</v>
      </c>
      <c r="E364" t="s">
        <v>644</v>
      </c>
      <c r="F364" t="s">
        <v>28</v>
      </c>
      <c r="G364">
        <v>25</v>
      </c>
      <c r="H364">
        <v>7</v>
      </c>
      <c r="I364">
        <v>60</v>
      </c>
      <c r="J364">
        <v>32</v>
      </c>
      <c r="K364">
        <v>9</v>
      </c>
      <c r="L364">
        <v>21</v>
      </c>
      <c r="M364">
        <v>34</v>
      </c>
      <c r="N364" t="s">
        <v>603</v>
      </c>
      <c r="O364" t="s">
        <v>122</v>
      </c>
      <c r="P364" t="s">
        <v>511</v>
      </c>
      <c r="Q364" t="s">
        <v>512</v>
      </c>
      <c r="R364" t="s">
        <v>604</v>
      </c>
      <c r="S364">
        <v>48</v>
      </c>
      <c r="T364">
        <v>91</v>
      </c>
      <c r="U364">
        <f t="shared" si="21"/>
        <v>-7.5691034911523</v>
      </c>
      <c r="V364">
        <f t="shared" si="22"/>
        <v>-910.404557511703</v>
      </c>
      <c r="W364">
        <f t="shared" si="23"/>
        <v>-7569.1034911523</v>
      </c>
      <c r="X364">
        <f t="shared" si="24"/>
        <v>-3.05504885071041</v>
      </c>
      <c r="Y364">
        <v>25</v>
      </c>
    </row>
    <row r="365" spans="1:25">
      <c r="A365" s="1">
        <v>399</v>
      </c>
      <c r="B365" t="s">
        <v>610</v>
      </c>
      <c r="C365" t="s">
        <v>645</v>
      </c>
      <c r="D365" t="s">
        <v>509</v>
      </c>
      <c r="E365" t="s">
        <v>646</v>
      </c>
      <c r="F365" t="s">
        <v>28</v>
      </c>
      <c r="G365">
        <v>25</v>
      </c>
      <c r="H365">
        <v>7</v>
      </c>
      <c r="I365">
        <v>60</v>
      </c>
      <c r="J365">
        <v>32</v>
      </c>
      <c r="K365">
        <v>9</v>
      </c>
      <c r="L365">
        <v>21</v>
      </c>
      <c r="M365">
        <v>34</v>
      </c>
      <c r="N365" t="s">
        <v>603</v>
      </c>
      <c r="O365" t="s">
        <v>122</v>
      </c>
      <c r="P365" t="s">
        <v>511</v>
      </c>
      <c r="Q365" t="s">
        <v>512</v>
      </c>
      <c r="R365" t="s">
        <v>604</v>
      </c>
      <c r="S365">
        <v>66</v>
      </c>
      <c r="T365">
        <v>88</v>
      </c>
      <c r="U365">
        <f t="shared" si="21"/>
        <v>-6.81712684860397</v>
      </c>
      <c r="V365">
        <f t="shared" si="22"/>
        <v>-819.957523286501</v>
      </c>
      <c r="W365">
        <f t="shared" si="23"/>
        <v>-6817.12684860397</v>
      </c>
      <c r="X365">
        <f t="shared" si="24"/>
        <v>-2.75153531304195</v>
      </c>
      <c r="Y365">
        <v>25</v>
      </c>
    </row>
    <row r="366" spans="1:25">
      <c r="A366" s="1">
        <v>400</v>
      </c>
      <c r="B366" t="s">
        <v>610</v>
      </c>
      <c r="C366" t="s">
        <v>647</v>
      </c>
      <c r="D366" t="s">
        <v>509</v>
      </c>
      <c r="E366" t="s">
        <v>648</v>
      </c>
      <c r="F366" t="s">
        <v>28</v>
      </c>
      <c r="G366">
        <v>25</v>
      </c>
      <c r="H366">
        <v>7</v>
      </c>
      <c r="I366">
        <v>60</v>
      </c>
      <c r="J366">
        <v>32</v>
      </c>
      <c r="K366">
        <v>9</v>
      </c>
      <c r="L366">
        <v>21</v>
      </c>
      <c r="M366">
        <v>34</v>
      </c>
      <c r="N366" t="s">
        <v>603</v>
      </c>
      <c r="O366" t="s">
        <v>122</v>
      </c>
      <c r="P366" t="s">
        <v>511</v>
      </c>
      <c r="Q366" t="s">
        <v>512</v>
      </c>
      <c r="R366" t="s">
        <v>604</v>
      </c>
      <c r="S366">
        <v>56</v>
      </c>
      <c r="T366">
        <v>88</v>
      </c>
      <c r="U366">
        <f t="shared" si="21"/>
        <v>-6.81712684860397</v>
      </c>
      <c r="V366">
        <f t="shared" si="22"/>
        <v>-819.957523286501</v>
      </c>
      <c r="W366">
        <f t="shared" si="23"/>
        <v>-6817.12684860397</v>
      </c>
      <c r="X366">
        <f t="shared" si="24"/>
        <v>-2.75153531304195</v>
      </c>
      <c r="Y366">
        <v>25</v>
      </c>
    </row>
    <row r="367" spans="1:25">
      <c r="A367" s="1">
        <v>401</v>
      </c>
      <c r="B367" t="s">
        <v>610</v>
      </c>
      <c r="C367" t="s">
        <v>649</v>
      </c>
      <c r="D367" t="s">
        <v>509</v>
      </c>
      <c r="E367" t="s">
        <v>650</v>
      </c>
      <c r="F367" t="s">
        <v>28</v>
      </c>
      <c r="G367">
        <v>25</v>
      </c>
      <c r="H367">
        <v>7</v>
      </c>
      <c r="I367">
        <v>60</v>
      </c>
      <c r="J367">
        <v>32</v>
      </c>
      <c r="K367">
        <v>9</v>
      </c>
      <c r="L367">
        <v>21</v>
      </c>
      <c r="M367">
        <v>34</v>
      </c>
      <c r="N367" t="s">
        <v>603</v>
      </c>
      <c r="O367" t="s">
        <v>122</v>
      </c>
      <c r="P367" t="s">
        <v>511</v>
      </c>
      <c r="Q367" t="s">
        <v>512</v>
      </c>
      <c r="R367" t="s">
        <v>604</v>
      </c>
      <c r="S367">
        <v>72</v>
      </c>
      <c r="T367">
        <v>89</v>
      </c>
      <c r="U367">
        <f t="shared" si="21"/>
        <v>-7.04584744877774</v>
      </c>
      <c r="V367">
        <f t="shared" si="22"/>
        <v>-847.467819193859</v>
      </c>
      <c r="W367">
        <f t="shared" si="23"/>
        <v>-7045.84744877774</v>
      </c>
      <c r="X367">
        <f t="shared" si="24"/>
        <v>-2.84385174226127</v>
      </c>
      <c r="Y367">
        <v>25</v>
      </c>
    </row>
    <row r="368" spans="1:25">
      <c r="A368" s="1">
        <v>402</v>
      </c>
      <c r="B368" t="s">
        <v>610</v>
      </c>
      <c r="C368" t="s">
        <v>651</v>
      </c>
      <c r="D368" t="s">
        <v>509</v>
      </c>
      <c r="E368" t="s">
        <v>652</v>
      </c>
      <c r="F368" t="s">
        <v>28</v>
      </c>
      <c r="G368">
        <v>25</v>
      </c>
      <c r="H368">
        <v>7</v>
      </c>
      <c r="I368">
        <v>60</v>
      </c>
      <c r="J368">
        <v>32</v>
      </c>
      <c r="K368">
        <v>9</v>
      </c>
      <c r="L368">
        <v>21</v>
      </c>
      <c r="M368">
        <v>34</v>
      </c>
      <c r="N368" t="s">
        <v>603</v>
      </c>
      <c r="O368" t="s">
        <v>122</v>
      </c>
      <c r="P368" t="s">
        <v>511</v>
      </c>
      <c r="Q368" t="s">
        <v>512</v>
      </c>
      <c r="R368" t="s">
        <v>604</v>
      </c>
      <c r="S368">
        <v>50</v>
      </c>
      <c r="T368">
        <v>89</v>
      </c>
      <c r="U368">
        <f t="shared" si="21"/>
        <v>-7.04584744877774</v>
      </c>
      <c r="V368">
        <f t="shared" si="22"/>
        <v>-847.467819193859</v>
      </c>
      <c r="W368">
        <f t="shared" si="23"/>
        <v>-7045.84744877774</v>
      </c>
      <c r="X368">
        <f t="shared" si="24"/>
        <v>-2.84385174226127</v>
      </c>
      <c r="Y368">
        <v>25</v>
      </c>
    </row>
    <row r="369" spans="1:25">
      <c r="A369" s="1">
        <v>403</v>
      </c>
      <c r="B369" t="s">
        <v>610</v>
      </c>
      <c r="C369" t="s">
        <v>653</v>
      </c>
      <c r="D369" t="s">
        <v>509</v>
      </c>
      <c r="E369" t="s">
        <v>73</v>
      </c>
      <c r="F369" t="s">
        <v>28</v>
      </c>
      <c r="G369">
        <v>25</v>
      </c>
      <c r="H369">
        <v>7</v>
      </c>
      <c r="I369">
        <v>60</v>
      </c>
      <c r="J369">
        <v>32</v>
      </c>
      <c r="K369">
        <v>9</v>
      </c>
      <c r="L369">
        <v>21</v>
      </c>
      <c r="M369">
        <v>34</v>
      </c>
      <c r="N369" t="s">
        <v>603</v>
      </c>
      <c r="O369" t="s">
        <v>122</v>
      </c>
      <c r="P369" t="s">
        <v>511</v>
      </c>
      <c r="Q369" t="s">
        <v>512</v>
      </c>
      <c r="R369" t="s">
        <v>604</v>
      </c>
      <c r="S369">
        <v>79</v>
      </c>
      <c r="T369">
        <v>70</v>
      </c>
      <c r="U369">
        <f t="shared" si="21"/>
        <v>-4.29759900600002</v>
      </c>
      <c r="V369">
        <f t="shared" si="22"/>
        <v>-516.911114505656</v>
      </c>
      <c r="W369">
        <f t="shared" si="23"/>
        <v>-4297.59900600002</v>
      </c>
      <c r="X369">
        <f t="shared" si="24"/>
        <v>-1.73460105538811</v>
      </c>
      <c r="Y369">
        <v>25</v>
      </c>
    </row>
    <row r="370" spans="1:25">
      <c r="A370" s="1">
        <v>404</v>
      </c>
      <c r="B370" t="s">
        <v>610</v>
      </c>
      <c r="C370" t="s">
        <v>654</v>
      </c>
      <c r="D370" t="s">
        <v>509</v>
      </c>
      <c r="E370" t="s">
        <v>655</v>
      </c>
      <c r="F370" t="s">
        <v>28</v>
      </c>
      <c r="G370">
        <v>25</v>
      </c>
      <c r="H370">
        <v>7</v>
      </c>
      <c r="I370">
        <v>60</v>
      </c>
      <c r="J370">
        <v>32</v>
      </c>
      <c r="K370">
        <v>9</v>
      </c>
      <c r="L370">
        <v>21</v>
      </c>
      <c r="M370">
        <v>34</v>
      </c>
      <c r="N370" t="s">
        <v>603</v>
      </c>
      <c r="O370" t="s">
        <v>122</v>
      </c>
      <c r="P370" t="s">
        <v>511</v>
      </c>
      <c r="Q370" t="s">
        <v>512</v>
      </c>
      <c r="R370" t="s">
        <v>604</v>
      </c>
      <c r="S370">
        <v>68</v>
      </c>
      <c r="T370">
        <v>92</v>
      </c>
      <c r="U370">
        <f t="shared" si="21"/>
        <v>-7.87385718456282</v>
      </c>
      <c r="V370">
        <f t="shared" si="22"/>
        <v>-947.060041443688</v>
      </c>
      <c r="W370">
        <f t="shared" si="23"/>
        <v>-7873.85718456282</v>
      </c>
      <c r="X370">
        <f t="shared" si="24"/>
        <v>-3.17805383034795</v>
      </c>
      <c r="Y370">
        <v>25</v>
      </c>
    </row>
    <row r="371" spans="1:25">
      <c r="A371" s="1">
        <v>405</v>
      </c>
      <c r="B371" t="s">
        <v>610</v>
      </c>
      <c r="C371" t="s">
        <v>656</v>
      </c>
      <c r="D371" t="s">
        <v>509</v>
      </c>
      <c r="E371" t="s">
        <v>657</v>
      </c>
      <c r="F371" t="s">
        <v>28</v>
      </c>
      <c r="G371">
        <v>25</v>
      </c>
      <c r="H371">
        <v>7</v>
      </c>
      <c r="I371">
        <v>60</v>
      </c>
      <c r="J371">
        <v>32</v>
      </c>
      <c r="K371">
        <v>9</v>
      </c>
      <c r="L371">
        <v>21</v>
      </c>
      <c r="M371">
        <v>34</v>
      </c>
      <c r="N371" t="s">
        <v>603</v>
      </c>
      <c r="O371" t="s">
        <v>122</v>
      </c>
      <c r="P371" t="s">
        <v>511</v>
      </c>
      <c r="Q371" t="s">
        <v>512</v>
      </c>
      <c r="R371" t="s">
        <v>604</v>
      </c>
      <c r="S371">
        <v>61</v>
      </c>
      <c r="T371">
        <v>87</v>
      </c>
      <c r="U371">
        <f t="shared" si="21"/>
        <v>-6.60560152861296</v>
      </c>
      <c r="V371">
        <f t="shared" si="22"/>
        <v>-794.515459299129</v>
      </c>
      <c r="W371">
        <f t="shared" si="23"/>
        <v>-6605.60152861296</v>
      </c>
      <c r="X371">
        <f t="shared" si="24"/>
        <v>-2.66615925939305</v>
      </c>
      <c r="Y371">
        <v>25</v>
      </c>
    </row>
    <row r="372" spans="1:25">
      <c r="A372" s="1">
        <v>406</v>
      </c>
      <c r="B372" t="s">
        <v>610</v>
      </c>
      <c r="C372" t="s">
        <v>658</v>
      </c>
      <c r="D372" t="s">
        <v>578</v>
      </c>
      <c r="E372" t="s">
        <v>659</v>
      </c>
      <c r="F372" t="s">
        <v>28</v>
      </c>
      <c r="G372">
        <v>25</v>
      </c>
      <c r="H372">
        <v>7</v>
      </c>
      <c r="I372">
        <v>60</v>
      </c>
      <c r="J372">
        <v>32</v>
      </c>
      <c r="K372">
        <v>9</v>
      </c>
      <c r="L372">
        <v>21</v>
      </c>
      <c r="M372">
        <v>34</v>
      </c>
      <c r="N372" t="s">
        <v>603</v>
      </c>
      <c r="O372" t="s">
        <v>122</v>
      </c>
      <c r="P372" t="s">
        <v>511</v>
      </c>
      <c r="Q372" t="s">
        <v>512</v>
      </c>
      <c r="R372" t="s">
        <v>604</v>
      </c>
      <c r="S372">
        <v>23</v>
      </c>
      <c r="T372">
        <v>85</v>
      </c>
      <c r="U372">
        <f t="shared" si="21"/>
        <v>-6.22441806940575</v>
      </c>
      <c r="V372">
        <f t="shared" si="22"/>
        <v>-748.667075944882</v>
      </c>
      <c r="W372">
        <f t="shared" si="23"/>
        <v>-6224.41806940575</v>
      </c>
      <c r="X372">
        <f t="shared" si="24"/>
        <v>-2.51230562397611</v>
      </c>
      <c r="Y372">
        <v>25</v>
      </c>
    </row>
    <row r="373" spans="1:25">
      <c r="A373" s="1">
        <v>407</v>
      </c>
      <c r="B373" t="s">
        <v>610</v>
      </c>
      <c r="C373" t="s">
        <v>660</v>
      </c>
      <c r="D373" t="s">
        <v>578</v>
      </c>
      <c r="E373" t="s">
        <v>315</v>
      </c>
      <c r="F373" t="s">
        <v>28</v>
      </c>
      <c r="G373">
        <v>25</v>
      </c>
      <c r="H373">
        <v>7</v>
      </c>
      <c r="I373">
        <v>60</v>
      </c>
      <c r="J373">
        <v>32</v>
      </c>
      <c r="K373">
        <v>9</v>
      </c>
      <c r="L373">
        <v>21</v>
      </c>
      <c r="M373">
        <v>96</v>
      </c>
      <c r="N373" t="s">
        <v>603</v>
      </c>
      <c r="O373" t="s">
        <v>122</v>
      </c>
      <c r="P373" t="s">
        <v>511</v>
      </c>
      <c r="Q373" t="s">
        <v>512</v>
      </c>
      <c r="R373" t="s">
        <v>604</v>
      </c>
      <c r="S373">
        <v>66</v>
      </c>
      <c r="T373">
        <v>78</v>
      </c>
      <c r="U373">
        <f t="shared" si="21"/>
        <v>-5.17996160101239</v>
      </c>
      <c r="V373">
        <f t="shared" si="22"/>
        <v>-623.040846886263</v>
      </c>
      <c r="W373">
        <f t="shared" si="23"/>
        <v>-5179.96160101239</v>
      </c>
      <c r="X373">
        <f t="shared" si="24"/>
        <v>-2.09074109693377</v>
      </c>
      <c r="Y373">
        <v>25</v>
      </c>
    </row>
    <row r="374" spans="1:25">
      <c r="A374" s="1">
        <v>408</v>
      </c>
      <c r="B374" t="s">
        <v>610</v>
      </c>
      <c r="C374" t="s">
        <v>661</v>
      </c>
      <c r="D374" t="s">
        <v>585</v>
      </c>
      <c r="E374" t="s">
        <v>315</v>
      </c>
      <c r="F374" t="s">
        <v>28</v>
      </c>
      <c r="G374">
        <v>25</v>
      </c>
      <c r="H374">
        <v>7</v>
      </c>
      <c r="I374">
        <v>60</v>
      </c>
      <c r="J374">
        <v>32</v>
      </c>
      <c r="K374">
        <v>9</v>
      </c>
      <c r="L374">
        <v>21</v>
      </c>
      <c r="M374">
        <v>96</v>
      </c>
      <c r="N374" t="s">
        <v>603</v>
      </c>
      <c r="O374" t="s">
        <v>122</v>
      </c>
      <c r="P374" t="s">
        <v>511</v>
      </c>
      <c r="Q374" t="s">
        <v>512</v>
      </c>
      <c r="R374" t="s">
        <v>604</v>
      </c>
      <c r="S374">
        <v>56</v>
      </c>
      <c r="T374">
        <v>72</v>
      </c>
      <c r="U374">
        <f t="shared" si="21"/>
        <v>-4.49751159322386</v>
      </c>
      <c r="V374">
        <f t="shared" si="22"/>
        <v>-540.956410058198</v>
      </c>
      <c r="W374">
        <f t="shared" si="23"/>
        <v>-4497.51159322386</v>
      </c>
      <c r="X374">
        <f t="shared" si="24"/>
        <v>-1.81528996663825</v>
      </c>
      <c r="Y374">
        <v>25</v>
      </c>
    </row>
    <row r="375" spans="1:25">
      <c r="A375" s="1">
        <v>409</v>
      </c>
      <c r="B375" t="s">
        <v>610</v>
      </c>
      <c r="C375" t="s">
        <v>662</v>
      </c>
      <c r="D375" t="s">
        <v>663</v>
      </c>
      <c r="E375" t="s">
        <v>315</v>
      </c>
      <c r="F375" t="s">
        <v>28</v>
      </c>
      <c r="G375">
        <v>25</v>
      </c>
      <c r="H375">
        <v>7</v>
      </c>
      <c r="I375">
        <v>60</v>
      </c>
      <c r="J375">
        <v>32</v>
      </c>
      <c r="K375">
        <v>9</v>
      </c>
      <c r="L375">
        <v>21</v>
      </c>
      <c r="M375">
        <v>96</v>
      </c>
      <c r="N375" t="s">
        <v>603</v>
      </c>
      <c r="O375" t="s">
        <v>122</v>
      </c>
      <c r="P375" t="s">
        <v>511</v>
      </c>
      <c r="Q375" t="s">
        <v>512</v>
      </c>
      <c r="R375" t="s">
        <v>604</v>
      </c>
      <c r="S375">
        <v>35</v>
      </c>
      <c r="T375">
        <v>89</v>
      </c>
      <c r="U375">
        <f t="shared" si="21"/>
        <v>-7.04584744877774</v>
      </c>
      <c r="V375">
        <f t="shared" si="22"/>
        <v>-847.467819193859</v>
      </c>
      <c r="W375">
        <f t="shared" si="23"/>
        <v>-7045.84744877774</v>
      </c>
      <c r="X375">
        <f t="shared" si="24"/>
        <v>-2.84385174226127</v>
      </c>
      <c r="Y375">
        <v>25</v>
      </c>
    </row>
    <row r="376" spans="1:25">
      <c r="A376" s="1">
        <v>410</v>
      </c>
      <c r="B376" t="s">
        <v>610</v>
      </c>
      <c r="C376" t="s">
        <v>664</v>
      </c>
      <c r="D376" t="s">
        <v>665</v>
      </c>
      <c r="E376" t="s">
        <v>315</v>
      </c>
      <c r="F376" t="s">
        <v>28</v>
      </c>
      <c r="G376">
        <v>25</v>
      </c>
      <c r="H376">
        <v>7</v>
      </c>
      <c r="I376">
        <v>60</v>
      </c>
      <c r="J376">
        <v>32</v>
      </c>
      <c r="K376">
        <v>9</v>
      </c>
      <c r="L376">
        <v>21</v>
      </c>
      <c r="M376">
        <v>96</v>
      </c>
      <c r="N376" t="s">
        <v>603</v>
      </c>
      <c r="O376" t="s">
        <v>122</v>
      </c>
      <c r="P376" t="s">
        <v>511</v>
      </c>
      <c r="Q376" t="s">
        <v>512</v>
      </c>
      <c r="R376" t="s">
        <v>604</v>
      </c>
      <c r="S376">
        <v>36</v>
      </c>
      <c r="T376">
        <v>81</v>
      </c>
      <c r="U376">
        <f t="shared" si="21"/>
        <v>-5.58459111625598</v>
      </c>
      <c r="V376">
        <f t="shared" si="22"/>
        <v>-671.709299525617</v>
      </c>
      <c r="W376">
        <f t="shared" si="23"/>
        <v>-5584.59111625598</v>
      </c>
      <c r="X376">
        <f t="shared" si="24"/>
        <v>-2.25405805209939</v>
      </c>
      <c r="Y376">
        <v>25</v>
      </c>
    </row>
    <row r="377" spans="1:25">
      <c r="A377" s="1">
        <v>411</v>
      </c>
      <c r="B377" t="s">
        <v>610</v>
      </c>
      <c r="C377" t="s">
        <v>666</v>
      </c>
      <c r="D377" t="s">
        <v>589</v>
      </c>
      <c r="E377" t="s">
        <v>315</v>
      </c>
      <c r="F377" t="s">
        <v>28</v>
      </c>
      <c r="G377">
        <v>25</v>
      </c>
      <c r="H377">
        <v>7</v>
      </c>
      <c r="I377">
        <v>60</v>
      </c>
      <c r="J377">
        <v>32</v>
      </c>
      <c r="K377">
        <v>9</v>
      </c>
      <c r="L377">
        <v>21</v>
      </c>
      <c r="M377">
        <v>96</v>
      </c>
      <c r="N377" t="s">
        <v>603</v>
      </c>
      <c r="O377" t="s">
        <v>122</v>
      </c>
      <c r="P377" t="s">
        <v>511</v>
      </c>
      <c r="Q377" t="s">
        <v>512</v>
      </c>
      <c r="R377" t="s">
        <v>604</v>
      </c>
      <c r="S377">
        <v>45</v>
      </c>
      <c r="T377">
        <v>80</v>
      </c>
      <c r="U377">
        <f t="shared" si="21"/>
        <v>-5.44378209052005</v>
      </c>
      <c r="V377">
        <f t="shared" si="22"/>
        <v>-654.772924046193</v>
      </c>
      <c r="W377">
        <f t="shared" si="23"/>
        <v>-5443.78209052005</v>
      </c>
      <c r="X377">
        <f t="shared" si="24"/>
        <v>-2.19722457733622</v>
      </c>
      <c r="Y377">
        <v>25</v>
      </c>
    </row>
    <row r="378" spans="1:25">
      <c r="A378" s="1">
        <v>412</v>
      </c>
      <c r="B378" t="s">
        <v>610</v>
      </c>
      <c r="C378" t="s">
        <v>667</v>
      </c>
      <c r="D378" t="s">
        <v>589</v>
      </c>
      <c r="E378" t="s">
        <v>668</v>
      </c>
      <c r="F378" t="s">
        <v>28</v>
      </c>
      <c r="G378">
        <v>25</v>
      </c>
      <c r="H378">
        <v>7</v>
      </c>
      <c r="I378">
        <v>60</v>
      </c>
      <c r="J378">
        <v>32</v>
      </c>
      <c r="K378">
        <v>9</v>
      </c>
      <c r="L378">
        <v>21</v>
      </c>
      <c r="M378">
        <v>96</v>
      </c>
      <c r="N378" t="s">
        <v>603</v>
      </c>
      <c r="O378" t="s">
        <v>122</v>
      </c>
      <c r="P378" t="s">
        <v>511</v>
      </c>
      <c r="Q378" t="s">
        <v>512</v>
      </c>
      <c r="R378" t="s">
        <v>604</v>
      </c>
      <c r="S378">
        <v>38</v>
      </c>
      <c r="T378">
        <v>80</v>
      </c>
      <c r="U378">
        <f t="shared" si="21"/>
        <v>-5.44378209052005</v>
      </c>
      <c r="V378">
        <f t="shared" si="22"/>
        <v>-654.772924046193</v>
      </c>
      <c r="W378">
        <f t="shared" si="23"/>
        <v>-5443.78209052005</v>
      </c>
      <c r="X378">
        <f t="shared" si="24"/>
        <v>-2.19722457733622</v>
      </c>
      <c r="Y378">
        <v>25</v>
      </c>
    </row>
    <row r="379" spans="1:25">
      <c r="A379" s="1">
        <v>413</v>
      </c>
      <c r="B379" t="s">
        <v>610</v>
      </c>
      <c r="C379" t="s">
        <v>669</v>
      </c>
      <c r="D379" t="s">
        <v>670</v>
      </c>
      <c r="E379" t="s">
        <v>315</v>
      </c>
      <c r="F379" t="s">
        <v>28</v>
      </c>
      <c r="G379">
        <v>25</v>
      </c>
      <c r="H379">
        <v>7</v>
      </c>
      <c r="I379">
        <v>60</v>
      </c>
      <c r="J379">
        <v>32</v>
      </c>
      <c r="K379">
        <v>9</v>
      </c>
      <c r="L379">
        <v>21</v>
      </c>
      <c r="M379">
        <v>96</v>
      </c>
      <c r="N379" t="s">
        <v>603</v>
      </c>
      <c r="O379" t="s">
        <v>122</v>
      </c>
      <c r="P379" t="s">
        <v>511</v>
      </c>
      <c r="Q379" t="s">
        <v>512</v>
      </c>
      <c r="R379" t="s">
        <v>604</v>
      </c>
      <c r="S379">
        <v>42</v>
      </c>
      <c r="T379">
        <v>89</v>
      </c>
      <c r="U379">
        <f t="shared" si="21"/>
        <v>-7.04584744877774</v>
      </c>
      <c r="V379">
        <f t="shared" si="22"/>
        <v>-847.467819193859</v>
      </c>
      <c r="W379">
        <f t="shared" si="23"/>
        <v>-7045.84744877774</v>
      </c>
      <c r="X379">
        <f t="shared" si="24"/>
        <v>-2.84385174226127</v>
      </c>
      <c r="Y379">
        <v>25</v>
      </c>
    </row>
    <row r="380" spans="1:25">
      <c r="A380" s="1">
        <v>414</v>
      </c>
      <c r="B380" t="s">
        <v>610</v>
      </c>
      <c r="C380" t="s">
        <v>671</v>
      </c>
      <c r="D380" t="s">
        <v>591</v>
      </c>
      <c r="E380" t="s">
        <v>315</v>
      </c>
      <c r="F380" t="s">
        <v>28</v>
      </c>
      <c r="G380">
        <v>25</v>
      </c>
      <c r="H380">
        <v>7</v>
      </c>
      <c r="I380">
        <v>60</v>
      </c>
      <c r="J380">
        <v>32</v>
      </c>
      <c r="K380">
        <v>9</v>
      </c>
      <c r="L380">
        <v>21</v>
      </c>
      <c r="M380">
        <v>96</v>
      </c>
      <c r="N380" t="s">
        <v>603</v>
      </c>
      <c r="O380" t="s">
        <v>122</v>
      </c>
      <c r="P380" t="s">
        <v>511</v>
      </c>
      <c r="Q380" t="s">
        <v>512</v>
      </c>
      <c r="R380" t="s">
        <v>604</v>
      </c>
      <c r="S380">
        <v>46</v>
      </c>
      <c r="T380">
        <v>87</v>
      </c>
      <c r="U380">
        <f t="shared" si="21"/>
        <v>-6.60560152861296</v>
      </c>
      <c r="V380">
        <f t="shared" si="22"/>
        <v>-794.515459299129</v>
      </c>
      <c r="W380">
        <f t="shared" si="23"/>
        <v>-6605.60152861296</v>
      </c>
      <c r="X380">
        <f t="shared" si="24"/>
        <v>-2.66615925939305</v>
      </c>
      <c r="Y380">
        <v>25</v>
      </c>
    </row>
    <row r="381" spans="1:25">
      <c r="A381" s="1">
        <v>415</v>
      </c>
      <c r="B381" t="s">
        <v>610</v>
      </c>
      <c r="C381" t="s">
        <v>672</v>
      </c>
      <c r="D381" t="s">
        <v>673</v>
      </c>
      <c r="E381" t="s">
        <v>315</v>
      </c>
      <c r="F381" t="s">
        <v>28</v>
      </c>
      <c r="G381">
        <v>25</v>
      </c>
      <c r="H381">
        <v>7</v>
      </c>
      <c r="I381">
        <v>60</v>
      </c>
      <c r="J381">
        <v>32</v>
      </c>
      <c r="K381">
        <v>9</v>
      </c>
      <c r="L381">
        <v>21</v>
      </c>
      <c r="M381">
        <v>96</v>
      </c>
      <c r="N381" t="s">
        <v>603</v>
      </c>
      <c r="O381" t="s">
        <v>122</v>
      </c>
      <c r="P381" t="s">
        <v>511</v>
      </c>
      <c r="Q381" t="s">
        <v>512</v>
      </c>
      <c r="R381" t="s">
        <v>604</v>
      </c>
      <c r="S381">
        <v>43</v>
      </c>
      <c r="T381">
        <v>84</v>
      </c>
      <c r="U381">
        <f t="shared" si="21"/>
        <v>-6.05109062911375</v>
      </c>
      <c r="V381">
        <f t="shared" si="22"/>
        <v>-727.819416540023</v>
      </c>
      <c r="W381">
        <f t="shared" si="23"/>
        <v>-6051.09062911375</v>
      </c>
      <c r="X381">
        <f t="shared" si="24"/>
        <v>-2.4423470353692</v>
      </c>
      <c r="Y381">
        <v>25</v>
      </c>
    </row>
    <row r="382" spans="1:25">
      <c r="A382" s="1">
        <v>416</v>
      </c>
      <c r="B382" t="s">
        <v>610</v>
      </c>
      <c r="C382" t="s">
        <v>674</v>
      </c>
      <c r="D382" t="s">
        <v>675</v>
      </c>
      <c r="E382" t="s">
        <v>315</v>
      </c>
      <c r="F382" t="s">
        <v>28</v>
      </c>
      <c r="G382">
        <v>25</v>
      </c>
      <c r="H382">
        <v>7</v>
      </c>
      <c r="I382">
        <v>60</v>
      </c>
      <c r="J382">
        <v>32</v>
      </c>
      <c r="K382">
        <v>9</v>
      </c>
      <c r="L382">
        <v>21</v>
      </c>
      <c r="M382">
        <v>96</v>
      </c>
      <c r="N382" t="s">
        <v>603</v>
      </c>
      <c r="O382" t="s">
        <v>122</v>
      </c>
      <c r="P382" t="s">
        <v>511</v>
      </c>
      <c r="Q382" t="s">
        <v>512</v>
      </c>
      <c r="R382" t="s">
        <v>604</v>
      </c>
      <c r="S382">
        <v>37</v>
      </c>
      <c r="T382">
        <v>80</v>
      </c>
      <c r="U382">
        <f t="shared" si="21"/>
        <v>-5.44378209052005</v>
      </c>
      <c r="V382">
        <f t="shared" si="22"/>
        <v>-654.772924046193</v>
      </c>
      <c r="W382">
        <f t="shared" si="23"/>
        <v>-5443.78209052005</v>
      </c>
      <c r="X382">
        <f t="shared" si="24"/>
        <v>-2.19722457733622</v>
      </c>
      <c r="Y382">
        <v>25</v>
      </c>
    </row>
    <row r="383" spans="1:25">
      <c r="A383" s="1">
        <v>417</v>
      </c>
      <c r="B383" t="s">
        <v>606</v>
      </c>
      <c r="C383" t="s">
        <v>601</v>
      </c>
      <c r="D383" t="s">
        <v>509</v>
      </c>
      <c r="E383" t="s">
        <v>602</v>
      </c>
      <c r="F383" t="s">
        <v>28</v>
      </c>
      <c r="G383">
        <v>50</v>
      </c>
      <c r="H383">
        <v>7</v>
      </c>
      <c r="I383">
        <v>60</v>
      </c>
      <c r="J383">
        <v>32</v>
      </c>
      <c r="K383">
        <v>9</v>
      </c>
      <c r="L383">
        <v>21</v>
      </c>
      <c r="M383">
        <v>24</v>
      </c>
      <c r="N383" t="s">
        <v>603</v>
      </c>
      <c r="O383" t="s">
        <v>122</v>
      </c>
      <c r="P383" t="s">
        <v>511</v>
      </c>
      <c r="Q383" t="s">
        <v>512</v>
      </c>
      <c r="R383" t="s">
        <v>604</v>
      </c>
      <c r="S383">
        <v>23</v>
      </c>
      <c r="T383">
        <v>78</v>
      </c>
      <c r="U383">
        <f t="shared" si="21"/>
        <v>-5.61452213801008</v>
      </c>
      <c r="V383">
        <f t="shared" si="22"/>
        <v>-675.309374309608</v>
      </c>
      <c r="W383">
        <f t="shared" si="23"/>
        <v>-5614.52213801008</v>
      </c>
      <c r="X383">
        <f t="shared" si="24"/>
        <v>-2.09074109693377</v>
      </c>
      <c r="Y383">
        <v>50</v>
      </c>
    </row>
    <row r="384" spans="1:25">
      <c r="A384" s="1">
        <v>418</v>
      </c>
      <c r="B384" t="s">
        <v>676</v>
      </c>
      <c r="C384" t="s">
        <v>601</v>
      </c>
      <c r="D384" t="s">
        <v>509</v>
      </c>
      <c r="E384" t="s">
        <v>602</v>
      </c>
      <c r="F384" t="s">
        <v>28</v>
      </c>
      <c r="G384">
        <v>50</v>
      </c>
      <c r="H384">
        <v>7</v>
      </c>
      <c r="I384">
        <v>60</v>
      </c>
      <c r="J384">
        <v>32</v>
      </c>
      <c r="K384">
        <v>9</v>
      </c>
      <c r="L384">
        <v>21</v>
      </c>
      <c r="M384">
        <v>24</v>
      </c>
      <c r="N384" t="s">
        <v>603</v>
      </c>
      <c r="O384" t="s">
        <v>122</v>
      </c>
      <c r="P384" t="s">
        <v>511</v>
      </c>
      <c r="Q384" t="s">
        <v>512</v>
      </c>
      <c r="R384" t="s">
        <v>604</v>
      </c>
      <c r="S384">
        <v>15</v>
      </c>
      <c r="T384">
        <v>76</v>
      </c>
      <c r="U384">
        <f t="shared" si="21"/>
        <v>-5.3505157977227</v>
      </c>
      <c r="V384">
        <f t="shared" si="22"/>
        <v>-643.554943194937</v>
      </c>
      <c r="W384">
        <f t="shared" si="23"/>
        <v>-5350.5157977227</v>
      </c>
      <c r="X384">
        <f t="shared" si="24"/>
        <v>-1.99243016469021</v>
      </c>
      <c r="Y384">
        <v>50</v>
      </c>
    </row>
    <row r="385" spans="1:25">
      <c r="A385" s="1">
        <v>419</v>
      </c>
      <c r="B385" t="s">
        <v>677</v>
      </c>
      <c r="C385" t="s">
        <v>601</v>
      </c>
      <c r="D385" t="s">
        <v>509</v>
      </c>
      <c r="E385" t="s">
        <v>602</v>
      </c>
      <c r="F385" t="s">
        <v>28</v>
      </c>
      <c r="G385">
        <v>50</v>
      </c>
      <c r="H385">
        <v>7</v>
      </c>
      <c r="I385">
        <v>60</v>
      </c>
      <c r="J385">
        <v>32</v>
      </c>
      <c r="K385">
        <v>9</v>
      </c>
      <c r="L385">
        <v>21</v>
      </c>
      <c r="M385">
        <v>24</v>
      </c>
      <c r="N385" t="s">
        <v>603</v>
      </c>
      <c r="O385" t="s">
        <v>122</v>
      </c>
      <c r="P385" t="s">
        <v>511</v>
      </c>
      <c r="Q385" t="s">
        <v>512</v>
      </c>
      <c r="R385" t="s">
        <v>604</v>
      </c>
      <c r="S385">
        <v>8</v>
      </c>
      <c r="T385">
        <v>77</v>
      </c>
      <c r="U385">
        <f t="shared" si="21"/>
        <v>-5.48002121881899</v>
      </c>
      <c r="V385">
        <f t="shared" si="22"/>
        <v>-659.131731876231</v>
      </c>
      <c r="W385">
        <f t="shared" si="23"/>
        <v>-5480.02121881899</v>
      </c>
      <c r="X385">
        <f t="shared" si="24"/>
        <v>-2.04065551664468</v>
      </c>
      <c r="Y385">
        <v>50</v>
      </c>
    </row>
    <row r="386" spans="1:25">
      <c r="A386" s="1">
        <v>420</v>
      </c>
      <c r="B386" t="s">
        <v>678</v>
      </c>
      <c r="C386" t="s">
        <v>601</v>
      </c>
      <c r="D386" t="s">
        <v>509</v>
      </c>
      <c r="E386" t="s">
        <v>602</v>
      </c>
      <c r="F386" t="s">
        <v>28</v>
      </c>
      <c r="G386">
        <v>50</v>
      </c>
      <c r="H386">
        <v>7</v>
      </c>
      <c r="I386">
        <v>60</v>
      </c>
      <c r="J386">
        <v>32</v>
      </c>
      <c r="K386">
        <v>9</v>
      </c>
      <c r="L386">
        <v>21</v>
      </c>
      <c r="M386">
        <v>24</v>
      </c>
      <c r="N386" t="s">
        <v>603</v>
      </c>
      <c r="O386" t="s">
        <v>122</v>
      </c>
      <c r="P386" t="s">
        <v>511</v>
      </c>
      <c r="Q386" t="s">
        <v>512</v>
      </c>
      <c r="R386" t="s">
        <v>604</v>
      </c>
      <c r="S386">
        <v>10</v>
      </c>
      <c r="T386">
        <v>70</v>
      </c>
      <c r="U386">
        <f t="shared" ref="U386:U449" si="25">LN((1+T386*0.01)/(1-T386*0.01))*-(G386+273)*8.314/1000</f>
        <v>-4.65813583536244</v>
      </c>
      <c r="V386">
        <f t="shared" ref="V386:V449" si="26">LN((1+T386*0.01)/(1-T386*0.01))*-(G386+273)</f>
        <v>-560.276140890359</v>
      </c>
      <c r="W386">
        <f t="shared" ref="W386:W449" si="27">LN((1+T386*0.01)/(1-T386*0.01))*-(G386+273)*8.314</f>
        <v>-4658.13583536244</v>
      </c>
      <c r="X386">
        <f t="shared" si="24"/>
        <v>-1.73460105538811</v>
      </c>
      <c r="Y386">
        <v>50</v>
      </c>
    </row>
    <row r="387" spans="1:25">
      <c r="A387" s="1">
        <v>421</v>
      </c>
      <c r="B387" t="s">
        <v>679</v>
      </c>
      <c r="C387" t="s">
        <v>601</v>
      </c>
      <c r="D387" t="s">
        <v>509</v>
      </c>
      <c r="E387" t="s">
        <v>602</v>
      </c>
      <c r="F387" t="s">
        <v>28</v>
      </c>
      <c r="G387">
        <v>50</v>
      </c>
      <c r="H387">
        <v>7</v>
      </c>
      <c r="I387">
        <v>60</v>
      </c>
      <c r="J387">
        <v>32</v>
      </c>
      <c r="K387">
        <v>9</v>
      </c>
      <c r="L387">
        <v>21</v>
      </c>
      <c r="M387">
        <v>24</v>
      </c>
      <c r="N387" t="s">
        <v>603</v>
      </c>
      <c r="O387" t="s">
        <v>122</v>
      </c>
      <c r="P387" t="s">
        <v>511</v>
      </c>
      <c r="Q387" t="s">
        <v>512</v>
      </c>
      <c r="R387" t="s">
        <v>604</v>
      </c>
      <c r="S387">
        <v>32</v>
      </c>
      <c r="T387">
        <v>74</v>
      </c>
      <c r="U387">
        <f t="shared" si="25"/>
        <v>-5.10487647840056</v>
      </c>
      <c r="V387">
        <f t="shared" si="26"/>
        <v>-614.009679865354</v>
      </c>
      <c r="W387">
        <f t="shared" si="27"/>
        <v>-5104.87647840056</v>
      </c>
      <c r="X387">
        <f t="shared" si="24"/>
        <v>-1.90095876119305</v>
      </c>
      <c r="Y387">
        <v>50</v>
      </c>
    </row>
    <row r="388" spans="1:25">
      <c r="A388" s="1">
        <v>422</v>
      </c>
      <c r="B388" t="s">
        <v>680</v>
      </c>
      <c r="C388" t="s">
        <v>601</v>
      </c>
      <c r="D388" t="s">
        <v>509</v>
      </c>
      <c r="E388" t="s">
        <v>602</v>
      </c>
      <c r="F388" t="s">
        <v>28</v>
      </c>
      <c r="G388">
        <v>50</v>
      </c>
      <c r="H388">
        <v>7</v>
      </c>
      <c r="I388">
        <v>60</v>
      </c>
      <c r="J388">
        <v>32</v>
      </c>
      <c r="K388">
        <v>9</v>
      </c>
      <c r="L388">
        <v>21</v>
      </c>
      <c r="M388">
        <v>24</v>
      </c>
      <c r="N388" t="s">
        <v>603</v>
      </c>
      <c r="O388" t="s">
        <v>122</v>
      </c>
      <c r="P388" t="s">
        <v>511</v>
      </c>
      <c r="Q388" t="s">
        <v>512</v>
      </c>
      <c r="R388" t="s">
        <v>604</v>
      </c>
      <c r="S388">
        <v>24</v>
      </c>
      <c r="T388">
        <v>73</v>
      </c>
      <c r="U388">
        <f t="shared" si="25"/>
        <v>-4.98804979190034</v>
      </c>
      <c r="V388">
        <f t="shared" si="26"/>
        <v>-599.957877303384</v>
      </c>
      <c r="W388">
        <f t="shared" si="27"/>
        <v>-4988.04979190034</v>
      </c>
      <c r="X388">
        <f t="shared" si="24"/>
        <v>-1.85745472849345</v>
      </c>
      <c r="Y388">
        <v>50</v>
      </c>
    </row>
    <row r="389" spans="1:25">
      <c r="A389" s="1">
        <v>423</v>
      </c>
      <c r="B389" t="s">
        <v>681</v>
      </c>
      <c r="C389" t="s">
        <v>601</v>
      </c>
      <c r="D389" t="s">
        <v>509</v>
      </c>
      <c r="E389" t="s">
        <v>602</v>
      </c>
      <c r="F389" t="s">
        <v>28</v>
      </c>
      <c r="G389">
        <v>50</v>
      </c>
      <c r="H389">
        <v>7</v>
      </c>
      <c r="I389">
        <v>60</v>
      </c>
      <c r="J389">
        <v>32</v>
      </c>
      <c r="K389">
        <v>9</v>
      </c>
      <c r="L389">
        <v>21</v>
      </c>
      <c r="M389">
        <v>24</v>
      </c>
      <c r="N389" t="s">
        <v>603</v>
      </c>
      <c r="O389" t="s">
        <v>122</v>
      </c>
      <c r="P389" t="s">
        <v>511</v>
      </c>
      <c r="Q389" t="s">
        <v>512</v>
      </c>
      <c r="R389" t="s">
        <v>604</v>
      </c>
      <c r="S389">
        <v>25</v>
      </c>
      <c r="T389">
        <v>66</v>
      </c>
      <c r="U389">
        <f t="shared" si="25"/>
        <v>-4.25807833784822</v>
      </c>
      <c r="V389">
        <f t="shared" si="26"/>
        <v>-512.157606188143</v>
      </c>
      <c r="W389">
        <f t="shared" si="27"/>
        <v>-4258.07833784822</v>
      </c>
      <c r="X389">
        <f t="shared" si="24"/>
        <v>-1.58562726374038</v>
      </c>
      <c r="Y389">
        <v>50</v>
      </c>
    </row>
    <row r="390" spans="1:25">
      <c r="A390" s="1">
        <v>425</v>
      </c>
      <c r="B390" t="s">
        <v>682</v>
      </c>
      <c r="C390" t="s">
        <v>601</v>
      </c>
      <c r="D390" t="s">
        <v>509</v>
      </c>
      <c r="E390" t="s">
        <v>602</v>
      </c>
      <c r="F390" t="s">
        <v>28</v>
      </c>
      <c r="G390">
        <v>50</v>
      </c>
      <c r="H390">
        <v>7</v>
      </c>
      <c r="I390">
        <v>60</v>
      </c>
      <c r="J390">
        <v>32</v>
      </c>
      <c r="K390">
        <v>9</v>
      </c>
      <c r="L390">
        <v>21</v>
      </c>
      <c r="M390">
        <v>24</v>
      </c>
      <c r="N390" t="s">
        <v>603</v>
      </c>
      <c r="O390" t="s">
        <v>122</v>
      </c>
      <c r="P390" t="s">
        <v>511</v>
      </c>
      <c r="Q390" t="s">
        <v>512</v>
      </c>
      <c r="R390" t="s">
        <v>604</v>
      </c>
      <c r="S390">
        <v>20</v>
      </c>
      <c r="T390">
        <v>59</v>
      </c>
      <c r="U390">
        <f t="shared" si="25"/>
        <v>-3.63963873402144</v>
      </c>
      <c r="V390">
        <f t="shared" si="26"/>
        <v>-437.772279771643</v>
      </c>
      <c r="W390">
        <f t="shared" si="27"/>
        <v>-3639.63873402144</v>
      </c>
      <c r="X390">
        <f t="shared" si="24"/>
        <v>-1.35533213551592</v>
      </c>
      <c r="Y390">
        <v>50</v>
      </c>
    </row>
    <row r="391" spans="1:25">
      <c r="A391" s="1">
        <v>426</v>
      </c>
      <c r="B391" t="s">
        <v>683</v>
      </c>
      <c r="C391" t="s">
        <v>601</v>
      </c>
      <c r="D391" t="s">
        <v>509</v>
      </c>
      <c r="E391" t="s">
        <v>602</v>
      </c>
      <c r="F391" t="s">
        <v>28</v>
      </c>
      <c r="G391">
        <v>50</v>
      </c>
      <c r="H391">
        <v>7</v>
      </c>
      <c r="I391">
        <v>60</v>
      </c>
      <c r="J391">
        <v>32</v>
      </c>
      <c r="K391">
        <v>9</v>
      </c>
      <c r="L391">
        <v>21</v>
      </c>
      <c r="M391">
        <v>24</v>
      </c>
      <c r="N391" t="s">
        <v>603</v>
      </c>
      <c r="O391" t="s">
        <v>122</v>
      </c>
      <c r="P391" t="s">
        <v>511</v>
      </c>
      <c r="Q391" t="s">
        <v>512</v>
      </c>
      <c r="R391" t="s">
        <v>604</v>
      </c>
      <c r="S391">
        <v>3</v>
      </c>
      <c r="T391">
        <v>47</v>
      </c>
      <c r="U391">
        <f t="shared" si="25"/>
        <v>-2.73950820697756</v>
      </c>
      <c r="V391">
        <f t="shared" si="26"/>
        <v>-329.505437452196</v>
      </c>
      <c r="W391">
        <f t="shared" si="27"/>
        <v>-2739.50820697756</v>
      </c>
      <c r="X391">
        <f t="shared" si="24"/>
        <v>-1.02014067322661</v>
      </c>
      <c r="Y391">
        <v>50</v>
      </c>
    </row>
    <row r="392" spans="1:25">
      <c r="A392" s="1">
        <v>427</v>
      </c>
      <c r="B392" t="s">
        <v>684</v>
      </c>
      <c r="C392" t="s">
        <v>601</v>
      </c>
      <c r="D392" t="s">
        <v>509</v>
      </c>
      <c r="E392" t="s">
        <v>602</v>
      </c>
      <c r="F392" t="s">
        <v>28</v>
      </c>
      <c r="G392">
        <v>50</v>
      </c>
      <c r="H392">
        <v>7</v>
      </c>
      <c r="I392">
        <v>60</v>
      </c>
      <c r="J392">
        <v>32</v>
      </c>
      <c r="K392">
        <v>9</v>
      </c>
      <c r="L392">
        <v>21</v>
      </c>
      <c r="M392">
        <v>24</v>
      </c>
      <c r="N392" t="s">
        <v>603</v>
      </c>
      <c r="O392" t="s">
        <v>122</v>
      </c>
      <c r="P392" t="s">
        <v>511</v>
      </c>
      <c r="Q392" t="s">
        <v>512</v>
      </c>
      <c r="R392" t="s">
        <v>604</v>
      </c>
      <c r="S392">
        <v>8</v>
      </c>
      <c r="T392">
        <v>49</v>
      </c>
      <c r="U392">
        <f t="shared" si="25"/>
        <v>-2.87909644252284</v>
      </c>
      <c r="V392">
        <f t="shared" si="26"/>
        <v>-346.294977450426</v>
      </c>
      <c r="W392">
        <f t="shared" si="27"/>
        <v>-2879.09644252284</v>
      </c>
      <c r="X392">
        <f t="shared" si="24"/>
        <v>-1.07212067322113</v>
      </c>
      <c r="Y392">
        <v>50</v>
      </c>
    </row>
    <row r="393" spans="1:25">
      <c r="A393" s="1">
        <v>428</v>
      </c>
      <c r="B393" t="s">
        <v>685</v>
      </c>
      <c r="C393" t="s">
        <v>601</v>
      </c>
      <c r="D393" t="s">
        <v>509</v>
      </c>
      <c r="E393" t="s">
        <v>602</v>
      </c>
      <c r="F393" t="s">
        <v>28</v>
      </c>
      <c r="G393">
        <v>50</v>
      </c>
      <c r="H393">
        <v>7</v>
      </c>
      <c r="I393">
        <v>60</v>
      </c>
      <c r="J393">
        <v>32</v>
      </c>
      <c r="K393">
        <v>9</v>
      </c>
      <c r="L393">
        <v>21</v>
      </c>
      <c r="M393">
        <v>24</v>
      </c>
      <c r="N393" t="s">
        <v>603</v>
      </c>
      <c r="O393" t="s">
        <v>122</v>
      </c>
      <c r="P393" t="s">
        <v>511</v>
      </c>
      <c r="Q393" t="s">
        <v>512</v>
      </c>
      <c r="R393" t="s">
        <v>604</v>
      </c>
      <c r="S393">
        <v>16</v>
      </c>
      <c r="T393">
        <v>75</v>
      </c>
      <c r="U393">
        <f t="shared" si="25"/>
        <v>-5.22558992429642</v>
      </c>
      <c r="V393">
        <f t="shared" si="26"/>
        <v>-628.528978144866</v>
      </c>
      <c r="W393">
        <f t="shared" si="27"/>
        <v>-5225.58992429642</v>
      </c>
      <c r="X393">
        <f t="shared" si="24"/>
        <v>-1.94591014905531</v>
      </c>
      <c r="Y393">
        <v>50</v>
      </c>
    </row>
    <row r="394" spans="1:25">
      <c r="A394" s="1">
        <v>429</v>
      </c>
      <c r="B394" t="s">
        <v>686</v>
      </c>
      <c r="C394" t="s">
        <v>601</v>
      </c>
      <c r="D394" t="s">
        <v>509</v>
      </c>
      <c r="E394" t="s">
        <v>602</v>
      </c>
      <c r="F394" t="s">
        <v>28</v>
      </c>
      <c r="G394">
        <v>50</v>
      </c>
      <c r="H394">
        <v>7</v>
      </c>
      <c r="I394">
        <v>60</v>
      </c>
      <c r="J394">
        <v>32</v>
      </c>
      <c r="K394">
        <v>9</v>
      </c>
      <c r="L394">
        <v>21</v>
      </c>
      <c r="M394">
        <v>24</v>
      </c>
      <c r="N394" t="s">
        <v>603</v>
      </c>
      <c r="O394" t="s">
        <v>122</v>
      </c>
      <c r="P394" t="s">
        <v>511</v>
      </c>
      <c r="Q394" t="s">
        <v>512</v>
      </c>
      <c r="R394" t="s">
        <v>604</v>
      </c>
      <c r="S394">
        <v>30</v>
      </c>
      <c r="T394">
        <v>67</v>
      </c>
      <c r="U394">
        <f t="shared" si="25"/>
        <v>-4.35437485099939</v>
      </c>
      <c r="V394">
        <f t="shared" si="26"/>
        <v>-523.740059056939</v>
      </c>
      <c r="W394">
        <f t="shared" si="27"/>
        <v>-4354.37485099939</v>
      </c>
      <c r="X394">
        <f t="shared" si="24"/>
        <v>-1.62148625095028</v>
      </c>
      <c r="Y394">
        <v>50</v>
      </c>
    </row>
    <row r="395" spans="1:25">
      <c r="A395" s="1">
        <v>430</v>
      </c>
      <c r="B395" t="s">
        <v>687</v>
      </c>
      <c r="C395" t="s">
        <v>601</v>
      </c>
      <c r="D395" t="s">
        <v>509</v>
      </c>
      <c r="E395" t="s">
        <v>602</v>
      </c>
      <c r="F395" t="s">
        <v>28</v>
      </c>
      <c r="G395">
        <v>50</v>
      </c>
      <c r="H395">
        <v>7</v>
      </c>
      <c r="I395">
        <v>60</v>
      </c>
      <c r="J395">
        <v>32</v>
      </c>
      <c r="K395">
        <v>9</v>
      </c>
      <c r="L395">
        <v>21</v>
      </c>
      <c r="M395">
        <v>24</v>
      </c>
      <c r="N395" t="s">
        <v>603</v>
      </c>
      <c r="O395" t="s">
        <v>122</v>
      </c>
      <c r="P395" t="s">
        <v>511</v>
      </c>
      <c r="Q395" t="s">
        <v>512</v>
      </c>
      <c r="R395" t="s">
        <v>604</v>
      </c>
      <c r="S395">
        <v>18</v>
      </c>
      <c r="T395">
        <v>57</v>
      </c>
      <c r="U395">
        <f t="shared" si="25"/>
        <v>-3.47774418600403</v>
      </c>
      <c r="V395">
        <f t="shared" si="26"/>
        <v>-418.299757758483</v>
      </c>
      <c r="W395">
        <f t="shared" si="27"/>
        <v>-3477.74418600403</v>
      </c>
      <c r="X395">
        <f t="shared" si="24"/>
        <v>-1.29504568965475</v>
      </c>
      <c r="Y395">
        <v>50</v>
      </c>
    </row>
    <row r="396" spans="1:25">
      <c r="A396" s="1">
        <v>431</v>
      </c>
      <c r="B396" t="s">
        <v>688</v>
      </c>
      <c r="C396" t="s">
        <v>601</v>
      </c>
      <c r="D396" t="s">
        <v>509</v>
      </c>
      <c r="E396" t="s">
        <v>602</v>
      </c>
      <c r="F396" t="s">
        <v>28</v>
      </c>
      <c r="G396">
        <v>50</v>
      </c>
      <c r="H396">
        <v>7</v>
      </c>
      <c r="I396">
        <v>60</v>
      </c>
      <c r="J396">
        <v>32</v>
      </c>
      <c r="K396">
        <v>9</v>
      </c>
      <c r="L396">
        <v>21</v>
      </c>
      <c r="M396">
        <v>24</v>
      </c>
      <c r="N396" t="s">
        <v>603</v>
      </c>
      <c r="O396" t="s">
        <v>122</v>
      </c>
      <c r="P396" t="s">
        <v>511</v>
      </c>
      <c r="Q396" t="s">
        <v>512</v>
      </c>
      <c r="R396" t="s">
        <v>604</v>
      </c>
      <c r="S396">
        <v>33</v>
      </c>
      <c r="T396">
        <v>75</v>
      </c>
      <c r="U396">
        <f t="shared" si="25"/>
        <v>-5.22558992429642</v>
      </c>
      <c r="V396">
        <f t="shared" si="26"/>
        <v>-628.528978144866</v>
      </c>
      <c r="W396">
        <f t="shared" si="27"/>
        <v>-5225.58992429642</v>
      </c>
      <c r="X396">
        <f t="shared" si="24"/>
        <v>-1.94591014905531</v>
      </c>
      <c r="Y396">
        <v>50</v>
      </c>
    </row>
    <row r="397" spans="1:25">
      <c r="A397" s="1">
        <v>432</v>
      </c>
      <c r="B397" t="s">
        <v>685</v>
      </c>
      <c r="C397" t="s">
        <v>601</v>
      </c>
      <c r="D397" t="s">
        <v>509</v>
      </c>
      <c r="E397" t="s">
        <v>602</v>
      </c>
      <c r="F397" t="s">
        <v>28</v>
      </c>
      <c r="G397">
        <v>50</v>
      </c>
      <c r="H397">
        <v>7</v>
      </c>
      <c r="I397">
        <v>60</v>
      </c>
      <c r="J397">
        <v>32</v>
      </c>
      <c r="K397">
        <v>9</v>
      </c>
      <c r="L397">
        <v>21</v>
      </c>
      <c r="M397">
        <v>24</v>
      </c>
      <c r="N397" t="s">
        <v>603</v>
      </c>
      <c r="O397" t="s">
        <v>122</v>
      </c>
      <c r="P397" t="s">
        <v>511</v>
      </c>
      <c r="Q397" t="s">
        <v>512</v>
      </c>
      <c r="R397" t="s">
        <v>604</v>
      </c>
      <c r="S397">
        <v>32</v>
      </c>
      <c r="T397">
        <v>67</v>
      </c>
      <c r="U397">
        <f t="shared" si="25"/>
        <v>-4.35437485099939</v>
      </c>
      <c r="V397">
        <f t="shared" si="26"/>
        <v>-523.740059056939</v>
      </c>
      <c r="W397">
        <f t="shared" si="27"/>
        <v>-4354.37485099939</v>
      </c>
      <c r="X397">
        <f t="shared" si="24"/>
        <v>-1.62148625095028</v>
      </c>
      <c r="Y397">
        <v>50</v>
      </c>
    </row>
    <row r="398" spans="1:25">
      <c r="A398" s="1">
        <v>433</v>
      </c>
      <c r="B398" t="s">
        <v>689</v>
      </c>
      <c r="C398" t="s">
        <v>601</v>
      </c>
      <c r="D398" t="s">
        <v>509</v>
      </c>
      <c r="E398" t="s">
        <v>602</v>
      </c>
      <c r="F398" t="s">
        <v>28</v>
      </c>
      <c r="G398">
        <v>50</v>
      </c>
      <c r="H398">
        <v>7</v>
      </c>
      <c r="I398">
        <v>60</v>
      </c>
      <c r="J398">
        <v>32</v>
      </c>
      <c r="K398">
        <v>9</v>
      </c>
      <c r="L398">
        <v>21</v>
      </c>
      <c r="M398">
        <v>24</v>
      </c>
      <c r="N398" t="s">
        <v>603</v>
      </c>
      <c r="O398" t="s">
        <v>122</v>
      </c>
      <c r="P398" t="s">
        <v>511</v>
      </c>
      <c r="Q398" t="s">
        <v>512</v>
      </c>
      <c r="R398" t="s">
        <v>604</v>
      </c>
      <c r="S398">
        <v>48</v>
      </c>
      <c r="T398">
        <v>63</v>
      </c>
      <c r="U398">
        <f t="shared" si="25"/>
        <v>-3.98203044894202</v>
      </c>
      <c r="V398">
        <f t="shared" si="26"/>
        <v>-478.9548290765</v>
      </c>
      <c r="W398">
        <f t="shared" si="27"/>
        <v>-3982.03044894202</v>
      </c>
      <c r="X398">
        <f t="shared" si="24"/>
        <v>-1.48283228816254</v>
      </c>
      <c r="Y398">
        <v>50</v>
      </c>
    </row>
    <row r="399" spans="1:25">
      <c r="A399" s="1">
        <v>434</v>
      </c>
      <c r="B399" t="s">
        <v>690</v>
      </c>
      <c r="C399" t="s">
        <v>601</v>
      </c>
      <c r="D399" t="s">
        <v>509</v>
      </c>
      <c r="E399" t="s">
        <v>602</v>
      </c>
      <c r="F399" t="s">
        <v>28</v>
      </c>
      <c r="G399">
        <v>50</v>
      </c>
      <c r="H399">
        <v>7</v>
      </c>
      <c r="I399">
        <v>60</v>
      </c>
      <c r="J399">
        <v>32</v>
      </c>
      <c r="K399">
        <v>9</v>
      </c>
      <c r="L399">
        <v>21</v>
      </c>
      <c r="M399">
        <v>24</v>
      </c>
      <c r="N399" t="s">
        <v>603</v>
      </c>
      <c r="O399" t="s">
        <v>122</v>
      </c>
      <c r="P399" t="s">
        <v>511</v>
      </c>
      <c r="Q399" t="s">
        <v>512</v>
      </c>
      <c r="R399" t="s">
        <v>604</v>
      </c>
      <c r="S399">
        <v>21</v>
      </c>
      <c r="T399">
        <v>59</v>
      </c>
      <c r="U399">
        <f t="shared" si="25"/>
        <v>-3.63963873402144</v>
      </c>
      <c r="V399">
        <f t="shared" si="26"/>
        <v>-437.772279771643</v>
      </c>
      <c r="W399">
        <f t="shared" si="27"/>
        <v>-3639.63873402144</v>
      </c>
      <c r="X399">
        <f t="shared" si="24"/>
        <v>-1.35533213551592</v>
      </c>
      <c r="Y399">
        <v>50</v>
      </c>
    </row>
    <row r="400" spans="1:25">
      <c r="A400" s="1">
        <v>435</v>
      </c>
      <c r="B400" t="s">
        <v>691</v>
      </c>
      <c r="C400" t="s">
        <v>601</v>
      </c>
      <c r="D400" t="s">
        <v>509</v>
      </c>
      <c r="E400" t="s">
        <v>602</v>
      </c>
      <c r="F400" t="s">
        <v>28</v>
      </c>
      <c r="G400">
        <v>50</v>
      </c>
      <c r="H400">
        <v>7</v>
      </c>
      <c r="I400">
        <v>60</v>
      </c>
      <c r="J400">
        <v>32</v>
      </c>
      <c r="K400">
        <v>9</v>
      </c>
      <c r="L400">
        <v>21</v>
      </c>
      <c r="M400">
        <v>24</v>
      </c>
      <c r="N400" t="s">
        <v>603</v>
      </c>
      <c r="O400" t="s">
        <v>122</v>
      </c>
      <c r="P400" t="s">
        <v>511</v>
      </c>
      <c r="Q400" t="s">
        <v>512</v>
      </c>
      <c r="R400" t="s">
        <v>604</v>
      </c>
      <c r="S400">
        <v>18</v>
      </c>
      <c r="T400">
        <v>57</v>
      </c>
      <c r="U400">
        <f t="shared" si="25"/>
        <v>-3.47774418600403</v>
      </c>
      <c r="V400">
        <f t="shared" si="26"/>
        <v>-418.299757758483</v>
      </c>
      <c r="W400">
        <f t="shared" si="27"/>
        <v>-3477.74418600403</v>
      </c>
      <c r="X400">
        <f t="shared" si="24"/>
        <v>-1.29504568965475</v>
      </c>
      <c r="Y400">
        <v>50</v>
      </c>
    </row>
    <row r="401" spans="1:25">
      <c r="A401" s="1">
        <v>436</v>
      </c>
      <c r="B401" t="s">
        <v>692</v>
      </c>
      <c r="C401" t="s">
        <v>601</v>
      </c>
      <c r="D401" t="s">
        <v>509</v>
      </c>
      <c r="E401" t="s">
        <v>602</v>
      </c>
      <c r="F401" t="s">
        <v>28</v>
      </c>
      <c r="G401">
        <v>50</v>
      </c>
      <c r="H401">
        <v>7</v>
      </c>
      <c r="I401">
        <v>60</v>
      </c>
      <c r="J401">
        <v>32</v>
      </c>
      <c r="K401">
        <v>9</v>
      </c>
      <c r="L401">
        <v>21</v>
      </c>
      <c r="M401">
        <v>24</v>
      </c>
      <c r="N401" t="s">
        <v>603</v>
      </c>
      <c r="O401" t="s">
        <v>122</v>
      </c>
      <c r="P401" t="s">
        <v>511</v>
      </c>
      <c r="Q401" t="s">
        <v>512</v>
      </c>
      <c r="R401" t="s">
        <v>604</v>
      </c>
      <c r="S401">
        <v>24</v>
      </c>
      <c r="T401">
        <v>51</v>
      </c>
      <c r="U401">
        <f t="shared" si="25"/>
        <v>-3.02233380534637</v>
      </c>
      <c r="V401">
        <f t="shared" si="26"/>
        <v>-363.523431001488</v>
      </c>
      <c r="W401">
        <f t="shared" si="27"/>
        <v>-3022.33380534637</v>
      </c>
      <c r="X401">
        <f t="shared" si="24"/>
        <v>-1.1254595387043</v>
      </c>
      <c r="Y401">
        <v>50</v>
      </c>
    </row>
    <row r="402" spans="1:25">
      <c r="A402" s="1">
        <v>438</v>
      </c>
      <c r="B402" t="s">
        <v>693</v>
      </c>
      <c r="C402" t="s">
        <v>601</v>
      </c>
      <c r="D402" t="s">
        <v>509</v>
      </c>
      <c r="E402" t="s">
        <v>602</v>
      </c>
      <c r="F402" t="s">
        <v>28</v>
      </c>
      <c r="G402">
        <v>50</v>
      </c>
      <c r="H402">
        <v>7</v>
      </c>
      <c r="I402">
        <v>60</v>
      </c>
      <c r="J402">
        <v>32</v>
      </c>
      <c r="K402">
        <v>9</v>
      </c>
      <c r="L402">
        <v>21</v>
      </c>
      <c r="M402">
        <v>24</v>
      </c>
      <c r="N402" t="s">
        <v>603</v>
      </c>
      <c r="O402" t="s">
        <v>122</v>
      </c>
      <c r="P402" t="s">
        <v>511</v>
      </c>
      <c r="Q402" t="s">
        <v>512</v>
      </c>
      <c r="R402" t="s">
        <v>604</v>
      </c>
      <c r="S402">
        <v>53</v>
      </c>
      <c r="T402">
        <v>29</v>
      </c>
      <c r="U402">
        <f t="shared" si="25"/>
        <v>-1.60355282578169</v>
      </c>
      <c r="V402">
        <f t="shared" si="26"/>
        <v>-192.873806324475</v>
      </c>
      <c r="W402">
        <f t="shared" si="27"/>
        <v>-1603.55282578169</v>
      </c>
      <c r="X402">
        <f t="shared" si="24"/>
        <v>-0.597132527320357</v>
      </c>
      <c r="Y402">
        <v>50</v>
      </c>
    </row>
    <row r="403" spans="1:25">
      <c r="A403" s="1">
        <v>439</v>
      </c>
      <c r="B403" t="s">
        <v>694</v>
      </c>
      <c r="C403" t="s">
        <v>601</v>
      </c>
      <c r="D403" t="s">
        <v>509</v>
      </c>
      <c r="E403" t="s">
        <v>602</v>
      </c>
      <c r="F403" t="s">
        <v>28</v>
      </c>
      <c r="G403">
        <v>50</v>
      </c>
      <c r="H403">
        <v>7</v>
      </c>
      <c r="I403">
        <v>60</v>
      </c>
      <c r="J403">
        <v>32</v>
      </c>
      <c r="K403">
        <v>9</v>
      </c>
      <c r="L403">
        <v>21</v>
      </c>
      <c r="M403">
        <v>24</v>
      </c>
      <c r="N403" t="s">
        <v>603</v>
      </c>
      <c r="O403" t="s">
        <v>122</v>
      </c>
      <c r="P403" t="s">
        <v>511</v>
      </c>
      <c r="Q403" t="s">
        <v>512</v>
      </c>
      <c r="R403" t="s">
        <v>604</v>
      </c>
      <c r="S403">
        <v>12</v>
      </c>
      <c r="T403">
        <v>35</v>
      </c>
      <c r="U403">
        <f t="shared" si="25"/>
        <v>-1.962741394966</v>
      </c>
      <c r="V403">
        <f t="shared" si="26"/>
        <v>-236.076665259322</v>
      </c>
      <c r="W403">
        <f t="shared" si="27"/>
        <v>-1962.741394966</v>
      </c>
      <c r="X403">
        <f t="shared" si="24"/>
        <v>-0.730887508542793</v>
      </c>
      <c r="Y403">
        <v>50</v>
      </c>
    </row>
    <row r="404" spans="1:25">
      <c r="A404" s="1">
        <v>440</v>
      </c>
      <c r="B404" t="s">
        <v>695</v>
      </c>
      <c r="C404" t="s">
        <v>601</v>
      </c>
      <c r="D404" t="s">
        <v>509</v>
      </c>
      <c r="E404" t="s">
        <v>602</v>
      </c>
      <c r="F404" t="s">
        <v>28</v>
      </c>
      <c r="G404">
        <v>50</v>
      </c>
      <c r="H404">
        <v>7</v>
      </c>
      <c r="I404">
        <v>60</v>
      </c>
      <c r="J404">
        <v>32</v>
      </c>
      <c r="K404">
        <v>9</v>
      </c>
      <c r="L404">
        <v>21</v>
      </c>
      <c r="M404">
        <v>24</v>
      </c>
      <c r="N404" t="s">
        <v>603</v>
      </c>
      <c r="O404" t="s">
        <v>122</v>
      </c>
      <c r="P404" t="s">
        <v>511</v>
      </c>
      <c r="Q404" t="s">
        <v>512</v>
      </c>
      <c r="R404" t="s">
        <v>604</v>
      </c>
      <c r="S404">
        <v>20</v>
      </c>
      <c r="T404">
        <v>17</v>
      </c>
      <c r="U404">
        <f t="shared" si="25"/>
        <v>-0.921994869662104</v>
      </c>
      <c r="V404">
        <f t="shared" si="26"/>
        <v>-110.896664621374</v>
      </c>
      <c r="W404">
        <f t="shared" si="27"/>
        <v>-921.994869662104</v>
      </c>
      <c r="X404">
        <f t="shared" si="24"/>
        <v>-0.343333327001158</v>
      </c>
      <c r="Y404">
        <v>50</v>
      </c>
    </row>
    <row r="405" spans="1:25">
      <c r="A405" s="1">
        <v>441</v>
      </c>
      <c r="B405" t="s">
        <v>696</v>
      </c>
      <c r="C405" t="s">
        <v>601</v>
      </c>
      <c r="D405" t="s">
        <v>509</v>
      </c>
      <c r="E405" t="s">
        <v>602</v>
      </c>
      <c r="F405" t="s">
        <v>28</v>
      </c>
      <c r="G405">
        <v>50</v>
      </c>
      <c r="H405">
        <v>7</v>
      </c>
      <c r="I405">
        <v>60</v>
      </c>
      <c r="J405">
        <v>32</v>
      </c>
      <c r="K405">
        <v>9</v>
      </c>
      <c r="L405">
        <v>21</v>
      </c>
      <c r="M405">
        <v>24</v>
      </c>
      <c r="N405" t="s">
        <v>603</v>
      </c>
      <c r="O405" t="s">
        <v>122</v>
      </c>
      <c r="P405" t="s">
        <v>511</v>
      </c>
      <c r="Q405" t="s">
        <v>512</v>
      </c>
      <c r="R405" t="s">
        <v>604</v>
      </c>
      <c r="S405">
        <v>20</v>
      </c>
      <c r="T405">
        <v>29</v>
      </c>
      <c r="U405">
        <f t="shared" si="25"/>
        <v>-1.60355282578169</v>
      </c>
      <c r="V405">
        <f t="shared" si="26"/>
        <v>-192.873806324475</v>
      </c>
      <c r="W405">
        <f t="shared" si="27"/>
        <v>-1603.55282578169</v>
      </c>
      <c r="X405">
        <f t="shared" si="24"/>
        <v>-0.597132527320357</v>
      </c>
      <c r="Y405">
        <v>50</v>
      </c>
    </row>
    <row r="406" spans="1:25">
      <c r="A406" s="1">
        <v>444</v>
      </c>
      <c r="B406" t="s">
        <v>697</v>
      </c>
      <c r="C406" t="s">
        <v>601</v>
      </c>
      <c r="D406" t="s">
        <v>509</v>
      </c>
      <c r="E406" t="s">
        <v>602</v>
      </c>
      <c r="F406" t="s">
        <v>28</v>
      </c>
      <c r="G406">
        <v>50</v>
      </c>
      <c r="H406">
        <v>7</v>
      </c>
      <c r="I406">
        <v>60</v>
      </c>
      <c r="J406">
        <v>32</v>
      </c>
      <c r="K406">
        <v>9</v>
      </c>
      <c r="L406">
        <v>21</v>
      </c>
      <c r="M406">
        <v>24</v>
      </c>
      <c r="N406" t="s">
        <v>603</v>
      </c>
      <c r="O406" t="s">
        <v>122</v>
      </c>
      <c r="P406" t="s">
        <v>511</v>
      </c>
      <c r="Q406" t="s">
        <v>512</v>
      </c>
      <c r="R406" t="s">
        <v>604</v>
      </c>
      <c r="S406">
        <v>20</v>
      </c>
      <c r="T406">
        <v>54</v>
      </c>
      <c r="U406">
        <f t="shared" si="25"/>
        <v>-3.24482549523627</v>
      </c>
      <c r="V406">
        <f t="shared" si="26"/>
        <v>-390.284519513625</v>
      </c>
      <c r="W406">
        <f t="shared" si="27"/>
        <v>-3244.82549523627</v>
      </c>
      <c r="X406">
        <f t="shared" si="24"/>
        <v>-1.20831120592453</v>
      </c>
      <c r="Y406">
        <v>50</v>
      </c>
    </row>
    <row r="407" spans="1:25">
      <c r="A407" s="1">
        <v>451</v>
      </c>
      <c r="B407" t="s">
        <v>698</v>
      </c>
      <c r="C407" t="s">
        <v>699</v>
      </c>
      <c r="D407" t="s">
        <v>700</v>
      </c>
      <c r="E407" t="s">
        <v>51</v>
      </c>
      <c r="F407" t="s">
        <v>28</v>
      </c>
      <c r="G407">
        <v>23</v>
      </c>
      <c r="H407">
        <v>7</v>
      </c>
      <c r="I407">
        <v>24</v>
      </c>
      <c r="J407">
        <v>10</v>
      </c>
      <c r="K407">
        <v>0</v>
      </c>
      <c r="L407">
        <v>22</v>
      </c>
      <c r="M407">
        <v>15</v>
      </c>
      <c r="N407" t="s">
        <v>701</v>
      </c>
      <c r="O407" t="s">
        <v>702</v>
      </c>
      <c r="P407" t="s">
        <v>221</v>
      </c>
      <c r="Q407" t="s">
        <v>703</v>
      </c>
      <c r="R407" t="s">
        <v>704</v>
      </c>
      <c r="S407">
        <v>50</v>
      </c>
      <c r="T407">
        <v>38</v>
      </c>
      <c r="U407">
        <f t="shared" si="25"/>
        <v>-1.9690487908951</v>
      </c>
      <c r="V407">
        <f t="shared" si="26"/>
        <v>-236.835312833185</v>
      </c>
      <c r="W407">
        <f t="shared" si="27"/>
        <v>-1969.0487908951</v>
      </c>
      <c r="X407">
        <f t="shared" ref="X407:X462" si="28">-LN((1+T407*0.01)/(1-T407*0.01))</f>
        <v>-0.800119300112113</v>
      </c>
      <c r="Y407">
        <v>23</v>
      </c>
    </row>
    <row r="408" spans="1:25">
      <c r="A408" s="1">
        <v>452</v>
      </c>
      <c r="B408" t="s">
        <v>705</v>
      </c>
      <c r="C408" t="s">
        <v>699</v>
      </c>
      <c r="D408" t="s">
        <v>700</v>
      </c>
      <c r="E408" t="s">
        <v>51</v>
      </c>
      <c r="F408" t="s">
        <v>28</v>
      </c>
      <c r="G408">
        <v>23</v>
      </c>
      <c r="H408">
        <v>7</v>
      </c>
      <c r="I408">
        <v>14</v>
      </c>
      <c r="J408">
        <v>10</v>
      </c>
      <c r="K408">
        <v>0</v>
      </c>
      <c r="L408">
        <v>22</v>
      </c>
      <c r="M408">
        <v>15</v>
      </c>
      <c r="N408" t="s">
        <v>214</v>
      </c>
      <c r="O408" t="s">
        <v>702</v>
      </c>
      <c r="P408" t="s">
        <v>221</v>
      </c>
      <c r="Q408" t="s">
        <v>703</v>
      </c>
      <c r="R408" t="s">
        <v>704</v>
      </c>
      <c r="S408">
        <v>56</v>
      </c>
      <c r="T408">
        <v>66</v>
      </c>
      <c r="U408">
        <f t="shared" si="25"/>
        <v>-3.90213990093831</v>
      </c>
      <c r="V408">
        <f t="shared" si="26"/>
        <v>-469.345670067153</v>
      </c>
      <c r="W408">
        <f t="shared" si="27"/>
        <v>-3902.13990093831</v>
      </c>
      <c r="X408">
        <f t="shared" si="28"/>
        <v>-1.58562726374038</v>
      </c>
      <c r="Y408">
        <v>23</v>
      </c>
    </row>
    <row r="409" spans="1:25">
      <c r="A409" s="1">
        <v>453</v>
      </c>
      <c r="B409" t="s">
        <v>698</v>
      </c>
      <c r="C409" t="s">
        <v>699</v>
      </c>
      <c r="D409" t="s">
        <v>700</v>
      </c>
      <c r="E409" t="s">
        <v>51</v>
      </c>
      <c r="F409" t="s">
        <v>28</v>
      </c>
      <c r="G409">
        <v>23</v>
      </c>
      <c r="H409">
        <v>7</v>
      </c>
      <c r="I409">
        <v>1</v>
      </c>
      <c r="J409">
        <v>10</v>
      </c>
      <c r="K409">
        <v>0</v>
      </c>
      <c r="L409">
        <v>22</v>
      </c>
      <c r="M409">
        <v>15</v>
      </c>
      <c r="N409" t="s">
        <v>706</v>
      </c>
      <c r="O409" t="s">
        <v>702</v>
      </c>
      <c r="P409" t="s">
        <v>221</v>
      </c>
      <c r="Q409" t="s">
        <v>703</v>
      </c>
      <c r="R409" t="s">
        <v>704</v>
      </c>
      <c r="S409">
        <v>62</v>
      </c>
      <c r="T409">
        <v>46</v>
      </c>
      <c r="U409">
        <f t="shared" si="25"/>
        <v>-2.44771045856533</v>
      </c>
      <c r="V409">
        <f t="shared" si="26"/>
        <v>-294.408282242642</v>
      </c>
      <c r="W409">
        <f t="shared" si="27"/>
        <v>-2447.71045856533</v>
      </c>
      <c r="X409">
        <f t="shared" si="28"/>
        <v>-0.994622575144062</v>
      </c>
      <c r="Y409">
        <v>23</v>
      </c>
    </row>
    <row r="410" spans="1:25">
      <c r="A410" s="1">
        <v>454</v>
      </c>
      <c r="B410" t="s">
        <v>698</v>
      </c>
      <c r="C410" t="s">
        <v>699</v>
      </c>
      <c r="D410" t="s">
        <v>700</v>
      </c>
      <c r="E410" t="s">
        <v>51</v>
      </c>
      <c r="F410" t="s">
        <v>28</v>
      </c>
      <c r="G410">
        <v>23</v>
      </c>
      <c r="H410">
        <v>7</v>
      </c>
      <c r="I410">
        <v>53</v>
      </c>
      <c r="J410">
        <v>10</v>
      </c>
      <c r="K410">
        <v>0</v>
      </c>
      <c r="L410">
        <v>22</v>
      </c>
      <c r="M410">
        <v>15</v>
      </c>
      <c r="N410" t="s">
        <v>707</v>
      </c>
      <c r="O410" t="s">
        <v>702</v>
      </c>
      <c r="P410" t="s">
        <v>221</v>
      </c>
      <c r="Q410" t="s">
        <v>703</v>
      </c>
      <c r="R410" t="s">
        <v>704</v>
      </c>
      <c r="S410">
        <v>75</v>
      </c>
      <c r="T410">
        <v>46</v>
      </c>
      <c r="U410">
        <f t="shared" si="25"/>
        <v>-2.44771045856533</v>
      </c>
      <c r="V410">
        <f t="shared" si="26"/>
        <v>-294.408282242642</v>
      </c>
      <c r="W410">
        <f t="shared" si="27"/>
        <v>-2447.71045856533</v>
      </c>
      <c r="X410">
        <f t="shared" si="28"/>
        <v>-0.994622575144062</v>
      </c>
      <c r="Y410">
        <v>23</v>
      </c>
    </row>
    <row r="411" spans="1:25">
      <c r="A411" s="1">
        <v>455</v>
      </c>
      <c r="B411" t="s">
        <v>708</v>
      </c>
      <c r="C411" t="s">
        <v>699</v>
      </c>
      <c r="D411" t="s">
        <v>700</v>
      </c>
      <c r="E411" t="s">
        <v>51</v>
      </c>
      <c r="F411" t="s">
        <v>28</v>
      </c>
      <c r="G411">
        <v>23</v>
      </c>
      <c r="H411">
        <v>7</v>
      </c>
      <c r="I411">
        <v>53</v>
      </c>
      <c r="J411">
        <v>10</v>
      </c>
      <c r="K411">
        <v>0</v>
      </c>
      <c r="L411">
        <v>22</v>
      </c>
      <c r="M411">
        <v>15</v>
      </c>
      <c r="N411" t="s">
        <v>707</v>
      </c>
      <c r="O411" t="s">
        <v>702</v>
      </c>
      <c r="P411" t="s">
        <v>221</v>
      </c>
      <c r="Q411" t="s">
        <v>703</v>
      </c>
      <c r="R411" t="s">
        <v>704</v>
      </c>
      <c r="S411">
        <v>90</v>
      </c>
      <c r="T411">
        <v>54</v>
      </c>
      <c r="U411">
        <f t="shared" si="25"/>
        <v>-2.97358621235275</v>
      </c>
      <c r="V411">
        <f t="shared" si="26"/>
        <v>-357.660116953662</v>
      </c>
      <c r="W411">
        <f t="shared" si="27"/>
        <v>-2973.58621235275</v>
      </c>
      <c r="X411">
        <f t="shared" si="28"/>
        <v>-1.20831120592453</v>
      </c>
      <c r="Y411">
        <v>23</v>
      </c>
    </row>
    <row r="412" spans="1:25">
      <c r="A412" s="1">
        <v>456</v>
      </c>
      <c r="B412" t="s">
        <v>709</v>
      </c>
      <c r="C412" t="s">
        <v>699</v>
      </c>
      <c r="D412" t="s">
        <v>700</v>
      </c>
      <c r="E412" t="s">
        <v>51</v>
      </c>
      <c r="F412" t="s">
        <v>28</v>
      </c>
      <c r="G412">
        <v>23</v>
      </c>
      <c r="H412">
        <v>7</v>
      </c>
      <c r="I412">
        <v>53</v>
      </c>
      <c r="J412">
        <v>10</v>
      </c>
      <c r="K412">
        <v>0</v>
      </c>
      <c r="L412">
        <v>22</v>
      </c>
      <c r="M412">
        <v>15</v>
      </c>
      <c r="N412" t="s">
        <v>707</v>
      </c>
      <c r="O412" t="s">
        <v>702</v>
      </c>
      <c r="P412" t="s">
        <v>221</v>
      </c>
      <c r="Q412" t="s">
        <v>703</v>
      </c>
      <c r="R412" t="s">
        <v>704</v>
      </c>
      <c r="S412">
        <v>74</v>
      </c>
      <c r="T412">
        <v>44</v>
      </c>
      <c r="U412">
        <f t="shared" si="25"/>
        <v>-2.32426712950724</v>
      </c>
      <c r="V412">
        <f t="shared" si="26"/>
        <v>-279.560636216892</v>
      </c>
      <c r="W412">
        <f t="shared" si="27"/>
        <v>-2324.26712950724</v>
      </c>
      <c r="X412">
        <f t="shared" si="28"/>
        <v>-0.944461608840851</v>
      </c>
      <c r="Y412">
        <v>23</v>
      </c>
    </row>
    <row r="413" spans="1:25">
      <c r="A413" s="1">
        <v>457</v>
      </c>
      <c r="B413" t="s">
        <v>710</v>
      </c>
      <c r="C413" t="s">
        <v>699</v>
      </c>
      <c r="D413" t="s">
        <v>700</v>
      </c>
      <c r="E413" t="s">
        <v>51</v>
      </c>
      <c r="F413" t="s">
        <v>28</v>
      </c>
      <c r="G413">
        <v>23</v>
      </c>
      <c r="H413">
        <v>7</v>
      </c>
      <c r="I413">
        <v>53</v>
      </c>
      <c r="J413">
        <v>10</v>
      </c>
      <c r="K413">
        <v>0</v>
      </c>
      <c r="L413">
        <v>22</v>
      </c>
      <c r="M413">
        <v>15</v>
      </c>
      <c r="N413" t="s">
        <v>707</v>
      </c>
      <c r="O413" t="s">
        <v>702</v>
      </c>
      <c r="P413" t="s">
        <v>221</v>
      </c>
      <c r="Q413" t="s">
        <v>703</v>
      </c>
      <c r="R413" t="s">
        <v>704</v>
      </c>
      <c r="S413">
        <v>9</v>
      </c>
      <c r="T413">
        <v>2</v>
      </c>
      <c r="U413">
        <f t="shared" si="25"/>
        <v>-0.0984508881855754</v>
      </c>
      <c r="V413">
        <f t="shared" si="26"/>
        <v>-11.841579045655</v>
      </c>
      <c r="W413">
        <f t="shared" si="27"/>
        <v>-98.4508881855754</v>
      </c>
      <c r="X413">
        <f t="shared" si="28"/>
        <v>-0.0400053346136992</v>
      </c>
      <c r="Y413">
        <v>23</v>
      </c>
    </row>
    <row r="414" spans="1:25">
      <c r="A414" s="1">
        <v>459</v>
      </c>
      <c r="B414" t="s">
        <v>708</v>
      </c>
      <c r="C414" t="s">
        <v>699</v>
      </c>
      <c r="D414" t="s">
        <v>700</v>
      </c>
      <c r="E414" t="s">
        <v>51</v>
      </c>
      <c r="F414" t="s">
        <v>28</v>
      </c>
      <c r="G414">
        <v>23</v>
      </c>
      <c r="H414">
        <v>7</v>
      </c>
      <c r="I414">
        <v>53</v>
      </c>
      <c r="J414">
        <v>12</v>
      </c>
      <c r="K414">
        <v>0</v>
      </c>
      <c r="L414">
        <v>22</v>
      </c>
      <c r="M414">
        <v>15</v>
      </c>
      <c r="N414" t="s">
        <v>707</v>
      </c>
      <c r="O414" t="s">
        <v>711</v>
      </c>
      <c r="P414" t="s">
        <v>221</v>
      </c>
      <c r="Q414" t="s">
        <v>703</v>
      </c>
      <c r="R414" t="s">
        <v>704</v>
      </c>
      <c r="S414">
        <v>87</v>
      </c>
      <c r="T414">
        <v>52</v>
      </c>
      <c r="U414">
        <f t="shared" si="25"/>
        <v>-2.83667972390581</v>
      </c>
      <c r="V414">
        <f t="shared" si="26"/>
        <v>-341.193134941762</v>
      </c>
      <c r="W414">
        <f t="shared" si="27"/>
        <v>-2836.67972390581</v>
      </c>
      <c r="X414">
        <f t="shared" si="28"/>
        <v>-1.15267950993839</v>
      </c>
      <c r="Y414">
        <v>23</v>
      </c>
    </row>
    <row r="415" spans="1:25">
      <c r="A415" s="1">
        <v>460</v>
      </c>
      <c r="B415" t="s">
        <v>708</v>
      </c>
      <c r="C415" t="s">
        <v>699</v>
      </c>
      <c r="D415" t="s">
        <v>700</v>
      </c>
      <c r="E415" t="s">
        <v>51</v>
      </c>
      <c r="F415" t="s">
        <v>28</v>
      </c>
      <c r="G415">
        <v>23</v>
      </c>
      <c r="H415">
        <v>7</v>
      </c>
      <c r="I415">
        <v>53</v>
      </c>
      <c r="J415">
        <v>15</v>
      </c>
      <c r="K415">
        <v>0</v>
      </c>
      <c r="L415">
        <v>22</v>
      </c>
      <c r="M415">
        <v>15</v>
      </c>
      <c r="N415" t="s">
        <v>707</v>
      </c>
      <c r="O415" t="s">
        <v>712</v>
      </c>
      <c r="P415" t="s">
        <v>221</v>
      </c>
      <c r="Q415" t="s">
        <v>703</v>
      </c>
      <c r="R415" t="s">
        <v>704</v>
      </c>
      <c r="S415">
        <v>88</v>
      </c>
      <c r="T415">
        <v>54</v>
      </c>
      <c r="U415">
        <f t="shared" si="25"/>
        <v>-2.97358621235275</v>
      </c>
      <c r="V415">
        <f t="shared" si="26"/>
        <v>-357.660116953662</v>
      </c>
      <c r="W415">
        <f t="shared" si="27"/>
        <v>-2973.58621235275</v>
      </c>
      <c r="X415">
        <f t="shared" si="28"/>
        <v>-1.20831120592453</v>
      </c>
      <c r="Y415">
        <v>23</v>
      </c>
    </row>
    <row r="416" spans="1:25">
      <c r="A416" s="1">
        <v>461</v>
      </c>
      <c r="B416" t="s">
        <v>708</v>
      </c>
      <c r="C416" t="s">
        <v>699</v>
      </c>
      <c r="D416" t="s">
        <v>700</v>
      </c>
      <c r="E416" t="s">
        <v>51</v>
      </c>
      <c r="F416" t="s">
        <v>28</v>
      </c>
      <c r="G416">
        <v>23</v>
      </c>
      <c r="H416">
        <v>7</v>
      </c>
      <c r="I416">
        <v>53</v>
      </c>
      <c r="J416">
        <v>10</v>
      </c>
      <c r="K416">
        <v>0</v>
      </c>
      <c r="L416">
        <v>22</v>
      </c>
      <c r="M416">
        <v>15</v>
      </c>
      <c r="N416" t="s">
        <v>707</v>
      </c>
      <c r="O416" t="s">
        <v>702</v>
      </c>
      <c r="P416" t="s">
        <v>221</v>
      </c>
      <c r="Q416" t="s">
        <v>703</v>
      </c>
      <c r="R416" t="s">
        <v>704</v>
      </c>
      <c r="S416">
        <v>91</v>
      </c>
      <c r="T416">
        <v>52</v>
      </c>
      <c r="U416">
        <f t="shared" si="25"/>
        <v>-2.83667972390581</v>
      </c>
      <c r="V416">
        <f t="shared" si="26"/>
        <v>-341.193134941762</v>
      </c>
      <c r="W416">
        <f t="shared" si="27"/>
        <v>-2836.67972390581</v>
      </c>
      <c r="X416">
        <f t="shared" si="28"/>
        <v>-1.15267950993839</v>
      </c>
      <c r="Y416">
        <v>23</v>
      </c>
    </row>
    <row r="417" spans="1:25">
      <c r="A417" s="1">
        <v>462</v>
      </c>
      <c r="B417" t="s">
        <v>708</v>
      </c>
      <c r="C417" t="s">
        <v>713</v>
      </c>
      <c r="D417" t="s">
        <v>714</v>
      </c>
      <c r="E417" t="s">
        <v>51</v>
      </c>
      <c r="F417" t="s">
        <v>28</v>
      </c>
      <c r="G417">
        <v>23</v>
      </c>
      <c r="H417">
        <v>7</v>
      </c>
      <c r="I417">
        <v>53</v>
      </c>
      <c r="J417">
        <v>10</v>
      </c>
      <c r="K417">
        <v>0</v>
      </c>
      <c r="L417">
        <v>22</v>
      </c>
      <c r="M417">
        <v>64</v>
      </c>
      <c r="N417" t="s">
        <v>707</v>
      </c>
      <c r="O417" t="s">
        <v>702</v>
      </c>
      <c r="P417" t="s">
        <v>221</v>
      </c>
      <c r="Q417" t="s">
        <v>703</v>
      </c>
      <c r="R417" t="s">
        <v>704</v>
      </c>
      <c r="S417">
        <v>50</v>
      </c>
      <c r="T417">
        <v>84</v>
      </c>
      <c r="U417">
        <f t="shared" si="25"/>
        <v>-6.01047928260963</v>
      </c>
      <c r="V417">
        <f t="shared" si="26"/>
        <v>-722.934722469284</v>
      </c>
      <c r="W417">
        <f t="shared" si="27"/>
        <v>-6010.47928260963</v>
      </c>
      <c r="X417">
        <f t="shared" si="28"/>
        <v>-2.4423470353692</v>
      </c>
      <c r="Y417">
        <v>23</v>
      </c>
    </row>
    <row r="418" spans="1:25">
      <c r="A418" s="1">
        <v>463</v>
      </c>
      <c r="B418" t="s">
        <v>708</v>
      </c>
      <c r="C418" t="s">
        <v>715</v>
      </c>
      <c r="D418" t="s">
        <v>716</v>
      </c>
      <c r="E418" t="s">
        <v>51</v>
      </c>
      <c r="F418" t="s">
        <v>28</v>
      </c>
      <c r="G418">
        <v>23</v>
      </c>
      <c r="H418">
        <v>7</v>
      </c>
      <c r="I418">
        <v>53</v>
      </c>
      <c r="J418">
        <v>10</v>
      </c>
      <c r="K418">
        <v>0</v>
      </c>
      <c r="L418">
        <v>22</v>
      </c>
      <c r="M418">
        <v>40</v>
      </c>
      <c r="N418" t="s">
        <v>707</v>
      </c>
      <c r="O418" t="s">
        <v>702</v>
      </c>
      <c r="P418" t="s">
        <v>221</v>
      </c>
      <c r="Q418" t="s">
        <v>703</v>
      </c>
      <c r="R418" t="s">
        <v>704</v>
      </c>
      <c r="S418">
        <v>67</v>
      </c>
      <c r="T418">
        <v>44</v>
      </c>
      <c r="U418">
        <f t="shared" si="25"/>
        <v>-2.32426712950724</v>
      </c>
      <c r="V418">
        <f t="shared" si="26"/>
        <v>-279.560636216892</v>
      </c>
      <c r="W418">
        <f t="shared" si="27"/>
        <v>-2324.26712950724</v>
      </c>
      <c r="X418">
        <f t="shared" si="28"/>
        <v>-0.944461608840851</v>
      </c>
      <c r="Y418">
        <v>23</v>
      </c>
    </row>
    <row r="419" spans="1:25">
      <c r="A419" s="1">
        <v>464</v>
      </c>
      <c r="B419" t="s">
        <v>708</v>
      </c>
      <c r="C419" t="s">
        <v>717</v>
      </c>
      <c r="D419" t="s">
        <v>718</v>
      </c>
      <c r="E419" t="s">
        <v>51</v>
      </c>
      <c r="F419" t="s">
        <v>28</v>
      </c>
      <c r="G419">
        <v>23</v>
      </c>
      <c r="H419">
        <v>7</v>
      </c>
      <c r="I419">
        <v>53</v>
      </c>
      <c r="J419">
        <v>10</v>
      </c>
      <c r="K419">
        <v>0</v>
      </c>
      <c r="L419">
        <v>22</v>
      </c>
      <c r="M419">
        <v>64</v>
      </c>
      <c r="N419" t="s">
        <v>707</v>
      </c>
      <c r="O419" t="s">
        <v>702</v>
      </c>
      <c r="P419" t="s">
        <v>221</v>
      </c>
      <c r="Q419" t="s">
        <v>703</v>
      </c>
      <c r="R419" t="s">
        <v>704</v>
      </c>
      <c r="S419">
        <v>12</v>
      </c>
      <c r="T419">
        <v>82</v>
      </c>
      <c r="U419">
        <f t="shared" si="25"/>
        <v>-5.6937259971575</v>
      </c>
      <c r="V419">
        <f t="shared" si="26"/>
        <v>-684.835939037467</v>
      </c>
      <c r="W419">
        <f t="shared" si="27"/>
        <v>-5693.7259971575</v>
      </c>
      <c r="X419">
        <f t="shared" si="28"/>
        <v>-2.31363492918063</v>
      </c>
      <c r="Y419">
        <v>23</v>
      </c>
    </row>
    <row r="420" spans="1:25">
      <c r="A420" s="1">
        <v>465</v>
      </c>
      <c r="B420" t="s">
        <v>708</v>
      </c>
      <c r="C420" t="s">
        <v>719</v>
      </c>
      <c r="D420" t="s">
        <v>720</v>
      </c>
      <c r="E420" t="s">
        <v>51</v>
      </c>
      <c r="F420" t="s">
        <v>28</v>
      </c>
      <c r="G420">
        <v>23</v>
      </c>
      <c r="H420">
        <v>7</v>
      </c>
      <c r="I420">
        <v>53</v>
      </c>
      <c r="J420">
        <v>10</v>
      </c>
      <c r="K420">
        <v>0</v>
      </c>
      <c r="L420">
        <v>22</v>
      </c>
      <c r="M420">
        <v>64</v>
      </c>
      <c r="N420" t="s">
        <v>707</v>
      </c>
      <c r="O420" t="s">
        <v>702</v>
      </c>
      <c r="P420" t="s">
        <v>221</v>
      </c>
      <c r="Q420" t="s">
        <v>703</v>
      </c>
      <c r="R420" t="s">
        <v>704</v>
      </c>
      <c r="S420">
        <v>22</v>
      </c>
      <c r="T420">
        <v>70</v>
      </c>
      <c r="U420">
        <f t="shared" si="25"/>
        <v>-4.26875605965103</v>
      </c>
      <c r="V420">
        <f t="shared" si="26"/>
        <v>-513.44191239488</v>
      </c>
      <c r="W420">
        <f t="shared" si="27"/>
        <v>-4268.75605965103</v>
      </c>
      <c r="X420">
        <f t="shared" si="28"/>
        <v>-1.73460105538811</v>
      </c>
      <c r="Y420">
        <v>23</v>
      </c>
    </row>
    <row r="421" spans="1:25">
      <c r="A421" s="1">
        <v>466</v>
      </c>
      <c r="B421" t="s">
        <v>708</v>
      </c>
      <c r="C421" t="s">
        <v>721</v>
      </c>
      <c r="D421" t="s">
        <v>722</v>
      </c>
      <c r="E421" t="s">
        <v>51</v>
      </c>
      <c r="F421" t="s">
        <v>28</v>
      </c>
      <c r="G421">
        <v>23</v>
      </c>
      <c r="H421">
        <v>7</v>
      </c>
      <c r="I421">
        <v>53</v>
      </c>
      <c r="J421">
        <v>10</v>
      </c>
      <c r="K421">
        <v>0</v>
      </c>
      <c r="L421">
        <v>22</v>
      </c>
      <c r="M421">
        <v>64</v>
      </c>
      <c r="N421" t="s">
        <v>707</v>
      </c>
      <c r="O421" t="s">
        <v>702</v>
      </c>
      <c r="P421" t="s">
        <v>221</v>
      </c>
      <c r="Q421" t="s">
        <v>703</v>
      </c>
      <c r="R421" t="s">
        <v>704</v>
      </c>
      <c r="S421">
        <v>57</v>
      </c>
      <c r="T421">
        <v>36</v>
      </c>
      <c r="U421">
        <f t="shared" si="25"/>
        <v>-1.85499019442734</v>
      </c>
      <c r="V421">
        <f t="shared" si="26"/>
        <v>-223.116453503408</v>
      </c>
      <c r="W421">
        <f t="shared" si="27"/>
        <v>-1854.99019442734</v>
      </c>
      <c r="X421">
        <f t="shared" si="28"/>
        <v>-0.75377180237638</v>
      </c>
      <c r="Y421">
        <v>23</v>
      </c>
    </row>
    <row r="422" spans="1:25">
      <c r="A422" s="1">
        <v>467</v>
      </c>
      <c r="B422" t="s">
        <v>698</v>
      </c>
      <c r="C422" t="s">
        <v>723</v>
      </c>
      <c r="D422" t="s">
        <v>724</v>
      </c>
      <c r="E422" t="s">
        <v>51</v>
      </c>
      <c r="F422" t="s">
        <v>28</v>
      </c>
      <c r="G422">
        <v>23</v>
      </c>
      <c r="H422">
        <v>7</v>
      </c>
      <c r="I422">
        <v>53</v>
      </c>
      <c r="J422">
        <v>10</v>
      </c>
      <c r="K422">
        <v>0</v>
      </c>
      <c r="L422">
        <v>22</v>
      </c>
      <c r="M422">
        <v>15</v>
      </c>
      <c r="N422" t="s">
        <v>707</v>
      </c>
      <c r="O422" t="s">
        <v>702</v>
      </c>
      <c r="P422" t="s">
        <v>221</v>
      </c>
      <c r="Q422" t="s">
        <v>703</v>
      </c>
      <c r="R422" t="s">
        <v>704</v>
      </c>
      <c r="S422">
        <v>77</v>
      </c>
      <c r="T422">
        <v>42</v>
      </c>
      <c r="U422">
        <f t="shared" si="25"/>
        <v>-2.20348999829533</v>
      </c>
      <c r="V422">
        <f t="shared" si="26"/>
        <v>-265.033677928233</v>
      </c>
      <c r="W422">
        <f t="shared" si="27"/>
        <v>-2203.48999829533</v>
      </c>
      <c r="X422">
        <f t="shared" si="28"/>
        <v>-0.895384047054841</v>
      </c>
      <c r="Y422">
        <v>23</v>
      </c>
    </row>
    <row r="423" spans="1:25">
      <c r="A423" s="1">
        <v>468</v>
      </c>
      <c r="B423" t="s">
        <v>708</v>
      </c>
      <c r="C423" t="s">
        <v>725</v>
      </c>
      <c r="D423" t="s">
        <v>726</v>
      </c>
      <c r="E423" t="s">
        <v>51</v>
      </c>
      <c r="F423" t="s">
        <v>28</v>
      </c>
      <c r="G423">
        <v>23</v>
      </c>
      <c r="H423">
        <v>7</v>
      </c>
      <c r="I423">
        <v>53</v>
      </c>
      <c r="J423">
        <v>10</v>
      </c>
      <c r="K423">
        <v>0</v>
      </c>
      <c r="L423">
        <v>22</v>
      </c>
      <c r="M423">
        <v>40</v>
      </c>
      <c r="N423" t="s">
        <v>707</v>
      </c>
      <c r="O423" t="s">
        <v>702</v>
      </c>
      <c r="P423" t="s">
        <v>221</v>
      </c>
      <c r="Q423" t="s">
        <v>703</v>
      </c>
      <c r="R423" t="s">
        <v>704</v>
      </c>
      <c r="S423">
        <v>65</v>
      </c>
      <c r="T423">
        <v>66</v>
      </c>
      <c r="U423">
        <f t="shared" si="25"/>
        <v>-3.90213990093831</v>
      </c>
      <c r="V423">
        <f t="shared" si="26"/>
        <v>-469.345670067153</v>
      </c>
      <c r="W423">
        <f t="shared" si="27"/>
        <v>-3902.13990093831</v>
      </c>
      <c r="X423">
        <f t="shared" si="28"/>
        <v>-1.58562726374038</v>
      </c>
      <c r="Y423">
        <v>23</v>
      </c>
    </row>
    <row r="424" spans="1:25">
      <c r="A424" s="1">
        <v>469</v>
      </c>
      <c r="B424" t="s">
        <v>708</v>
      </c>
      <c r="C424" t="s">
        <v>727</v>
      </c>
      <c r="D424" t="s">
        <v>728</v>
      </c>
      <c r="E424" t="s">
        <v>51</v>
      </c>
      <c r="F424" t="s">
        <v>28</v>
      </c>
      <c r="G424">
        <v>23</v>
      </c>
      <c r="H424">
        <v>7</v>
      </c>
      <c r="I424">
        <v>53</v>
      </c>
      <c r="J424">
        <v>10</v>
      </c>
      <c r="K424">
        <v>0</v>
      </c>
      <c r="L424">
        <v>22</v>
      </c>
      <c r="M424">
        <v>64</v>
      </c>
      <c r="N424" t="s">
        <v>707</v>
      </c>
      <c r="O424" t="s">
        <v>702</v>
      </c>
      <c r="P424" t="s">
        <v>221</v>
      </c>
      <c r="Q424" t="s">
        <v>703</v>
      </c>
      <c r="R424" t="s">
        <v>704</v>
      </c>
      <c r="S424">
        <v>27</v>
      </c>
      <c r="T424">
        <v>54</v>
      </c>
      <c r="U424">
        <f t="shared" si="25"/>
        <v>-2.97358621235275</v>
      </c>
      <c r="V424">
        <f t="shared" si="26"/>
        <v>-357.660116953662</v>
      </c>
      <c r="W424">
        <f t="shared" si="27"/>
        <v>-2973.58621235275</v>
      </c>
      <c r="X424">
        <f t="shared" si="28"/>
        <v>-1.20831120592453</v>
      </c>
      <c r="Y424">
        <v>23</v>
      </c>
    </row>
    <row r="425" spans="1:25">
      <c r="A425" s="1">
        <v>470</v>
      </c>
      <c r="B425" t="s">
        <v>708</v>
      </c>
      <c r="C425" t="s">
        <v>729</v>
      </c>
      <c r="D425" t="s">
        <v>730</v>
      </c>
      <c r="E425" t="s">
        <v>51</v>
      </c>
      <c r="F425" t="s">
        <v>28</v>
      </c>
      <c r="G425">
        <v>23</v>
      </c>
      <c r="H425">
        <v>7</v>
      </c>
      <c r="I425">
        <v>53</v>
      </c>
      <c r="J425">
        <v>10</v>
      </c>
      <c r="K425">
        <v>0</v>
      </c>
      <c r="L425">
        <v>22</v>
      </c>
      <c r="M425">
        <v>15</v>
      </c>
      <c r="N425" t="s">
        <v>707</v>
      </c>
      <c r="O425" t="s">
        <v>702</v>
      </c>
      <c r="P425" t="s">
        <v>221</v>
      </c>
      <c r="Q425" t="s">
        <v>703</v>
      </c>
      <c r="R425" t="s">
        <v>704</v>
      </c>
      <c r="S425">
        <v>68</v>
      </c>
      <c r="T425">
        <v>14</v>
      </c>
      <c r="U425">
        <f t="shared" si="25"/>
        <v>-0.693619901754451</v>
      </c>
      <c r="V425">
        <f t="shared" si="26"/>
        <v>-83.4279410337324</v>
      </c>
      <c r="W425">
        <f t="shared" si="27"/>
        <v>-693.619901754451</v>
      </c>
      <c r="X425">
        <f t="shared" si="28"/>
        <v>-0.281851152140988</v>
      </c>
      <c r="Y425">
        <v>23</v>
      </c>
    </row>
    <row r="426" spans="1:25">
      <c r="A426" s="1">
        <v>473</v>
      </c>
      <c r="B426" t="s">
        <v>708</v>
      </c>
      <c r="C426" t="s">
        <v>731</v>
      </c>
      <c r="D426" t="s">
        <v>732</v>
      </c>
      <c r="E426" t="s">
        <v>51</v>
      </c>
      <c r="F426" t="s">
        <v>28</v>
      </c>
      <c r="G426">
        <v>23</v>
      </c>
      <c r="H426">
        <v>7</v>
      </c>
      <c r="I426">
        <v>53</v>
      </c>
      <c r="J426">
        <v>10</v>
      </c>
      <c r="K426">
        <v>0</v>
      </c>
      <c r="L426">
        <v>22</v>
      </c>
      <c r="M426">
        <v>15</v>
      </c>
      <c r="N426" t="s">
        <v>707</v>
      </c>
      <c r="O426" t="s">
        <v>702</v>
      </c>
      <c r="P426" t="s">
        <v>221</v>
      </c>
      <c r="Q426" t="s">
        <v>703</v>
      </c>
      <c r="R426" t="s">
        <v>704</v>
      </c>
      <c r="S426">
        <v>81</v>
      </c>
      <c r="T426">
        <v>54</v>
      </c>
      <c r="U426">
        <f t="shared" si="25"/>
        <v>-2.97358621235275</v>
      </c>
      <c r="V426">
        <f t="shared" si="26"/>
        <v>-357.660116953662</v>
      </c>
      <c r="W426">
        <f t="shared" si="27"/>
        <v>-2973.58621235275</v>
      </c>
      <c r="X426">
        <f t="shared" si="28"/>
        <v>-1.20831120592453</v>
      </c>
      <c r="Y426">
        <v>23</v>
      </c>
    </row>
    <row r="427" spans="1:25">
      <c r="A427" s="1">
        <v>474</v>
      </c>
      <c r="B427" t="s">
        <v>708</v>
      </c>
      <c r="C427" t="s">
        <v>733</v>
      </c>
      <c r="D427" t="s">
        <v>734</v>
      </c>
      <c r="E427" t="s">
        <v>51</v>
      </c>
      <c r="F427" t="s">
        <v>28</v>
      </c>
      <c r="G427">
        <v>23</v>
      </c>
      <c r="H427">
        <v>7</v>
      </c>
      <c r="I427">
        <v>53</v>
      </c>
      <c r="J427">
        <v>10</v>
      </c>
      <c r="K427">
        <v>0</v>
      </c>
      <c r="L427">
        <v>22</v>
      </c>
      <c r="M427">
        <v>15</v>
      </c>
      <c r="N427" t="s">
        <v>707</v>
      </c>
      <c r="O427" t="s">
        <v>702</v>
      </c>
      <c r="P427" t="s">
        <v>221</v>
      </c>
      <c r="Q427" t="s">
        <v>703</v>
      </c>
      <c r="R427" t="s">
        <v>704</v>
      </c>
      <c r="S427">
        <v>87</v>
      </c>
      <c r="T427">
        <v>42</v>
      </c>
      <c r="U427">
        <f t="shared" si="25"/>
        <v>-2.20348999829533</v>
      </c>
      <c r="V427">
        <f t="shared" si="26"/>
        <v>-265.033677928233</v>
      </c>
      <c r="W427">
        <f t="shared" si="27"/>
        <v>-2203.48999829533</v>
      </c>
      <c r="X427">
        <f t="shared" si="28"/>
        <v>-0.895384047054841</v>
      </c>
      <c r="Y427">
        <v>23</v>
      </c>
    </row>
    <row r="428" spans="1:25">
      <c r="A428" s="1">
        <v>475</v>
      </c>
      <c r="B428" t="s">
        <v>708</v>
      </c>
      <c r="C428" t="s">
        <v>735</v>
      </c>
      <c r="D428" t="s">
        <v>736</v>
      </c>
      <c r="E428" t="s">
        <v>51</v>
      </c>
      <c r="F428" t="s">
        <v>28</v>
      </c>
      <c r="G428">
        <v>23</v>
      </c>
      <c r="H428">
        <v>7</v>
      </c>
      <c r="I428">
        <v>53</v>
      </c>
      <c r="J428">
        <v>10</v>
      </c>
      <c r="K428">
        <v>0</v>
      </c>
      <c r="L428">
        <v>22</v>
      </c>
      <c r="M428">
        <v>15</v>
      </c>
      <c r="N428" t="s">
        <v>707</v>
      </c>
      <c r="O428" t="s">
        <v>702</v>
      </c>
      <c r="P428" t="s">
        <v>221</v>
      </c>
      <c r="Q428" t="s">
        <v>703</v>
      </c>
      <c r="R428" t="s">
        <v>704</v>
      </c>
      <c r="S428">
        <v>63</v>
      </c>
      <c r="T428">
        <v>10</v>
      </c>
      <c r="U428">
        <f t="shared" si="25"/>
        <v>-0.493839343973408</v>
      </c>
      <c r="V428">
        <f t="shared" si="26"/>
        <v>-59.3985258567968</v>
      </c>
      <c r="W428">
        <f t="shared" si="27"/>
        <v>-493.839343973408</v>
      </c>
      <c r="X428">
        <f t="shared" si="28"/>
        <v>-0.200670695462151</v>
      </c>
      <c r="Y428">
        <v>23</v>
      </c>
    </row>
    <row r="429" spans="1:25">
      <c r="A429" s="1">
        <v>476</v>
      </c>
      <c r="B429" t="s">
        <v>708</v>
      </c>
      <c r="C429" t="s">
        <v>737</v>
      </c>
      <c r="D429" t="s">
        <v>738</v>
      </c>
      <c r="E429" t="s">
        <v>51</v>
      </c>
      <c r="F429" t="s">
        <v>28</v>
      </c>
      <c r="G429">
        <v>23</v>
      </c>
      <c r="H429">
        <v>7</v>
      </c>
      <c r="I429">
        <v>53</v>
      </c>
      <c r="J429">
        <v>10</v>
      </c>
      <c r="K429">
        <v>0</v>
      </c>
      <c r="L429">
        <v>22</v>
      </c>
      <c r="M429">
        <v>40</v>
      </c>
      <c r="N429" t="s">
        <v>707</v>
      </c>
      <c r="O429" t="s">
        <v>702</v>
      </c>
      <c r="P429" t="s">
        <v>221</v>
      </c>
      <c r="Q429" t="s">
        <v>703</v>
      </c>
      <c r="R429" t="s">
        <v>704</v>
      </c>
      <c r="S429">
        <v>86</v>
      </c>
      <c r="T429">
        <v>58</v>
      </c>
      <c r="U429">
        <f t="shared" si="25"/>
        <v>-3.26056724986077</v>
      </c>
      <c r="V429">
        <f t="shared" si="26"/>
        <v>-392.177922764105</v>
      </c>
      <c r="W429">
        <f t="shared" si="27"/>
        <v>-3260.56724986077</v>
      </c>
      <c r="X429">
        <f t="shared" si="28"/>
        <v>-1.3249254147436</v>
      </c>
      <c r="Y429">
        <v>23</v>
      </c>
    </row>
    <row r="430" spans="1:25">
      <c r="A430" s="1">
        <v>477</v>
      </c>
      <c r="B430" t="s">
        <v>708</v>
      </c>
      <c r="C430" t="s">
        <v>739</v>
      </c>
      <c r="D430" t="s">
        <v>740</v>
      </c>
      <c r="E430" t="s">
        <v>51</v>
      </c>
      <c r="F430" t="s">
        <v>28</v>
      </c>
      <c r="G430">
        <v>23</v>
      </c>
      <c r="H430">
        <v>7</v>
      </c>
      <c r="I430">
        <v>53</v>
      </c>
      <c r="J430">
        <v>10</v>
      </c>
      <c r="K430">
        <v>0</v>
      </c>
      <c r="L430">
        <v>22</v>
      </c>
      <c r="M430">
        <v>64</v>
      </c>
      <c r="N430" t="s">
        <v>707</v>
      </c>
      <c r="O430" t="s">
        <v>702</v>
      </c>
      <c r="P430" t="s">
        <v>221</v>
      </c>
      <c r="Q430" t="s">
        <v>703</v>
      </c>
      <c r="R430" t="s">
        <v>704</v>
      </c>
      <c r="S430">
        <v>62</v>
      </c>
      <c r="T430">
        <v>64</v>
      </c>
      <c r="U430">
        <f t="shared" si="25"/>
        <v>-3.73164625587546</v>
      </c>
      <c r="V430">
        <f t="shared" si="26"/>
        <v>-448.838856852954</v>
      </c>
      <c r="W430">
        <f t="shared" si="27"/>
        <v>-3731.64625587546</v>
      </c>
      <c r="X430">
        <f t="shared" si="28"/>
        <v>-1.51634748936809</v>
      </c>
      <c r="Y430">
        <v>23</v>
      </c>
    </row>
    <row r="431" spans="1:25">
      <c r="A431" s="1">
        <v>478</v>
      </c>
      <c r="B431" t="s">
        <v>708</v>
      </c>
      <c r="C431" t="s">
        <v>741</v>
      </c>
      <c r="D431" t="s">
        <v>700</v>
      </c>
      <c r="E431" t="s">
        <v>323</v>
      </c>
      <c r="F431" t="s">
        <v>28</v>
      </c>
      <c r="G431">
        <v>23</v>
      </c>
      <c r="H431">
        <v>7</v>
      </c>
      <c r="I431">
        <v>53</v>
      </c>
      <c r="J431">
        <v>10</v>
      </c>
      <c r="K431">
        <v>0</v>
      </c>
      <c r="L431">
        <v>22</v>
      </c>
      <c r="M431">
        <v>15</v>
      </c>
      <c r="N431" t="s">
        <v>707</v>
      </c>
      <c r="O431" t="s">
        <v>702</v>
      </c>
      <c r="P431" t="s">
        <v>221</v>
      </c>
      <c r="Q431" t="s">
        <v>703</v>
      </c>
      <c r="R431" t="s">
        <v>704</v>
      </c>
      <c r="S431">
        <v>88</v>
      </c>
      <c r="T431">
        <v>56</v>
      </c>
      <c r="U431">
        <f t="shared" si="25"/>
        <v>-3.11473406745136</v>
      </c>
      <c r="V431">
        <f t="shared" si="26"/>
        <v>-374.637246506058</v>
      </c>
      <c r="W431">
        <f t="shared" si="27"/>
        <v>-3114.73406745136</v>
      </c>
      <c r="X431">
        <f t="shared" si="28"/>
        <v>-1.26566637333128</v>
      </c>
      <c r="Y431">
        <v>23</v>
      </c>
    </row>
    <row r="432" spans="1:25">
      <c r="A432" s="1">
        <v>479</v>
      </c>
      <c r="B432" t="s">
        <v>708</v>
      </c>
      <c r="C432" t="s">
        <v>742</v>
      </c>
      <c r="D432" t="s">
        <v>700</v>
      </c>
      <c r="E432" t="s">
        <v>325</v>
      </c>
      <c r="F432" t="s">
        <v>28</v>
      </c>
      <c r="G432">
        <v>23</v>
      </c>
      <c r="H432">
        <v>7</v>
      </c>
      <c r="I432">
        <v>53</v>
      </c>
      <c r="J432">
        <v>10</v>
      </c>
      <c r="K432">
        <v>0</v>
      </c>
      <c r="L432">
        <v>22</v>
      </c>
      <c r="M432">
        <v>15</v>
      </c>
      <c r="N432" t="s">
        <v>707</v>
      </c>
      <c r="O432" t="s">
        <v>702</v>
      </c>
      <c r="P432" t="s">
        <v>221</v>
      </c>
      <c r="Q432" t="s">
        <v>703</v>
      </c>
      <c r="R432" t="s">
        <v>704</v>
      </c>
      <c r="S432">
        <v>81</v>
      </c>
      <c r="T432">
        <v>58</v>
      </c>
      <c r="U432">
        <f t="shared" si="25"/>
        <v>-3.26056724986077</v>
      </c>
      <c r="V432">
        <f t="shared" si="26"/>
        <v>-392.177922764105</v>
      </c>
      <c r="W432">
        <f t="shared" si="27"/>
        <v>-3260.56724986077</v>
      </c>
      <c r="X432">
        <f t="shared" si="28"/>
        <v>-1.3249254147436</v>
      </c>
      <c r="Y432">
        <v>23</v>
      </c>
    </row>
    <row r="433" spans="1:25">
      <c r="A433" s="1">
        <v>480</v>
      </c>
      <c r="B433" t="s">
        <v>708</v>
      </c>
      <c r="C433" t="s">
        <v>743</v>
      </c>
      <c r="D433" t="s">
        <v>700</v>
      </c>
      <c r="E433" t="s">
        <v>744</v>
      </c>
      <c r="F433" t="s">
        <v>28</v>
      </c>
      <c r="G433">
        <v>23</v>
      </c>
      <c r="H433">
        <v>7</v>
      </c>
      <c r="I433">
        <v>53</v>
      </c>
      <c r="J433">
        <v>10</v>
      </c>
      <c r="K433">
        <v>0</v>
      </c>
      <c r="L433">
        <v>22</v>
      </c>
      <c r="M433">
        <v>15</v>
      </c>
      <c r="N433" t="s">
        <v>707</v>
      </c>
      <c r="O433" t="s">
        <v>702</v>
      </c>
      <c r="P433" t="s">
        <v>221</v>
      </c>
      <c r="Q433" t="s">
        <v>703</v>
      </c>
      <c r="R433" t="s">
        <v>704</v>
      </c>
      <c r="S433">
        <v>82</v>
      </c>
      <c r="T433">
        <v>54</v>
      </c>
      <c r="U433">
        <f t="shared" si="25"/>
        <v>-2.97358621235275</v>
      </c>
      <c r="V433">
        <f t="shared" si="26"/>
        <v>-357.660116953662</v>
      </c>
      <c r="W433">
        <f t="shared" si="27"/>
        <v>-2973.58621235275</v>
      </c>
      <c r="X433">
        <f t="shared" si="28"/>
        <v>-1.20831120592453</v>
      </c>
      <c r="Y433">
        <v>23</v>
      </c>
    </row>
    <row r="434" spans="1:25">
      <c r="A434" s="1">
        <v>481</v>
      </c>
      <c r="B434" t="s">
        <v>708</v>
      </c>
      <c r="C434" t="s">
        <v>745</v>
      </c>
      <c r="D434" t="s">
        <v>700</v>
      </c>
      <c r="E434" t="s">
        <v>746</v>
      </c>
      <c r="F434" t="s">
        <v>28</v>
      </c>
      <c r="G434">
        <v>23</v>
      </c>
      <c r="H434">
        <v>7</v>
      </c>
      <c r="I434">
        <v>53</v>
      </c>
      <c r="J434">
        <v>10</v>
      </c>
      <c r="K434">
        <v>0</v>
      </c>
      <c r="L434">
        <v>22</v>
      </c>
      <c r="M434">
        <v>15</v>
      </c>
      <c r="N434" t="s">
        <v>707</v>
      </c>
      <c r="O434" t="s">
        <v>702</v>
      </c>
      <c r="P434" t="s">
        <v>221</v>
      </c>
      <c r="Q434" t="s">
        <v>703</v>
      </c>
      <c r="R434" t="s">
        <v>704</v>
      </c>
      <c r="S434">
        <v>75</v>
      </c>
      <c r="T434">
        <v>52</v>
      </c>
      <c r="U434">
        <f t="shared" si="25"/>
        <v>-2.83667972390581</v>
      </c>
      <c r="V434">
        <f t="shared" si="26"/>
        <v>-341.193134941762</v>
      </c>
      <c r="W434">
        <f t="shared" si="27"/>
        <v>-2836.67972390581</v>
      </c>
      <c r="X434">
        <f t="shared" si="28"/>
        <v>-1.15267950993839</v>
      </c>
      <c r="Y434">
        <v>23</v>
      </c>
    </row>
    <row r="435" spans="1:25">
      <c r="A435" s="1">
        <v>482</v>
      </c>
      <c r="B435" t="s">
        <v>708</v>
      </c>
      <c r="C435" t="s">
        <v>747</v>
      </c>
      <c r="D435" t="s">
        <v>700</v>
      </c>
      <c r="E435" t="s">
        <v>748</v>
      </c>
      <c r="F435" t="s">
        <v>28</v>
      </c>
      <c r="G435">
        <v>23</v>
      </c>
      <c r="H435">
        <v>7</v>
      </c>
      <c r="I435">
        <v>53</v>
      </c>
      <c r="J435">
        <v>10</v>
      </c>
      <c r="K435">
        <v>0</v>
      </c>
      <c r="L435">
        <v>22</v>
      </c>
      <c r="M435">
        <v>15</v>
      </c>
      <c r="N435" t="s">
        <v>707</v>
      </c>
      <c r="O435" t="s">
        <v>702</v>
      </c>
      <c r="P435" t="s">
        <v>221</v>
      </c>
      <c r="Q435" t="s">
        <v>703</v>
      </c>
      <c r="R435" t="s">
        <v>704</v>
      </c>
      <c r="S435">
        <v>23</v>
      </c>
      <c r="T435">
        <v>56</v>
      </c>
      <c r="U435">
        <f t="shared" si="25"/>
        <v>-3.11473406745136</v>
      </c>
      <c r="V435">
        <f t="shared" si="26"/>
        <v>-374.637246506058</v>
      </c>
      <c r="W435">
        <f t="shared" si="27"/>
        <v>-3114.73406745136</v>
      </c>
      <c r="X435">
        <f t="shared" si="28"/>
        <v>-1.26566637333128</v>
      </c>
      <c r="Y435">
        <v>23</v>
      </c>
    </row>
    <row r="436" spans="1:25">
      <c r="A436" s="1">
        <v>483</v>
      </c>
      <c r="B436" t="s">
        <v>708</v>
      </c>
      <c r="C436" t="s">
        <v>749</v>
      </c>
      <c r="D436" t="s">
        <v>700</v>
      </c>
      <c r="E436" t="s">
        <v>750</v>
      </c>
      <c r="F436" t="s">
        <v>28</v>
      </c>
      <c r="G436">
        <v>23</v>
      </c>
      <c r="H436">
        <v>7</v>
      </c>
      <c r="I436">
        <v>53</v>
      </c>
      <c r="J436">
        <v>10</v>
      </c>
      <c r="K436">
        <v>0</v>
      </c>
      <c r="L436">
        <v>22</v>
      </c>
      <c r="M436">
        <v>15</v>
      </c>
      <c r="N436" t="s">
        <v>707</v>
      </c>
      <c r="O436" t="s">
        <v>702</v>
      </c>
      <c r="P436" t="s">
        <v>221</v>
      </c>
      <c r="Q436" t="s">
        <v>703</v>
      </c>
      <c r="R436" t="s">
        <v>704</v>
      </c>
      <c r="S436">
        <v>66</v>
      </c>
      <c r="T436">
        <v>28</v>
      </c>
      <c r="U436">
        <f t="shared" si="25"/>
        <v>-1.41593894021555</v>
      </c>
      <c r="V436">
        <f t="shared" si="26"/>
        <v>-170.307786891454</v>
      </c>
      <c r="W436">
        <f t="shared" si="27"/>
        <v>-1415.93894021555</v>
      </c>
      <c r="X436">
        <f t="shared" si="28"/>
        <v>-0.575364144903562</v>
      </c>
      <c r="Y436">
        <v>23</v>
      </c>
    </row>
    <row r="437" spans="1:25">
      <c r="A437" s="1">
        <v>484</v>
      </c>
      <c r="B437" t="s">
        <v>708</v>
      </c>
      <c r="C437" t="s">
        <v>751</v>
      </c>
      <c r="D437" t="s">
        <v>700</v>
      </c>
      <c r="E437" t="s">
        <v>752</v>
      </c>
      <c r="F437" t="s">
        <v>28</v>
      </c>
      <c r="G437">
        <v>23</v>
      </c>
      <c r="H437">
        <v>7</v>
      </c>
      <c r="I437">
        <v>53</v>
      </c>
      <c r="J437">
        <v>10</v>
      </c>
      <c r="K437">
        <v>0</v>
      </c>
      <c r="L437">
        <v>22</v>
      </c>
      <c r="M437">
        <v>15</v>
      </c>
      <c r="N437" t="s">
        <v>707</v>
      </c>
      <c r="O437" t="s">
        <v>702</v>
      </c>
      <c r="P437" t="s">
        <v>221</v>
      </c>
      <c r="Q437" t="s">
        <v>703</v>
      </c>
      <c r="R437" t="s">
        <v>704</v>
      </c>
      <c r="S437">
        <v>47</v>
      </c>
      <c r="T437">
        <v>2</v>
      </c>
      <c r="U437">
        <f t="shared" si="25"/>
        <v>-0.0984508881855754</v>
      </c>
      <c r="V437">
        <f t="shared" si="26"/>
        <v>-11.841579045655</v>
      </c>
      <c r="W437">
        <f t="shared" si="27"/>
        <v>-98.4508881855754</v>
      </c>
      <c r="X437">
        <f t="shared" si="28"/>
        <v>-0.0400053346136992</v>
      </c>
      <c r="Y437">
        <v>23</v>
      </c>
    </row>
    <row r="438" spans="1:25">
      <c r="A438" s="1">
        <v>485</v>
      </c>
      <c r="B438" t="s">
        <v>708</v>
      </c>
      <c r="C438" t="s">
        <v>753</v>
      </c>
      <c r="D438" t="s">
        <v>700</v>
      </c>
      <c r="E438" t="s">
        <v>65</v>
      </c>
      <c r="F438" t="s">
        <v>28</v>
      </c>
      <c r="G438">
        <v>23</v>
      </c>
      <c r="H438">
        <v>7</v>
      </c>
      <c r="I438">
        <v>53</v>
      </c>
      <c r="J438">
        <v>10</v>
      </c>
      <c r="K438">
        <v>0</v>
      </c>
      <c r="L438">
        <v>22</v>
      </c>
      <c r="M438">
        <v>64</v>
      </c>
      <c r="N438" t="s">
        <v>707</v>
      </c>
      <c r="O438" t="s">
        <v>702</v>
      </c>
      <c r="P438" t="s">
        <v>221</v>
      </c>
      <c r="Q438" t="s">
        <v>703</v>
      </c>
      <c r="R438" t="s">
        <v>704</v>
      </c>
      <c r="S438">
        <v>10</v>
      </c>
      <c r="T438">
        <v>40</v>
      </c>
      <c r="U438">
        <f t="shared" si="25"/>
        <v>-2.08515258573273</v>
      </c>
      <c r="V438">
        <f t="shared" si="26"/>
        <v>-250.800166674612</v>
      </c>
      <c r="W438">
        <f t="shared" si="27"/>
        <v>-2085.15258573273</v>
      </c>
      <c r="X438">
        <f t="shared" si="28"/>
        <v>-0.847297860387204</v>
      </c>
      <c r="Y438">
        <v>23</v>
      </c>
    </row>
    <row r="439" spans="1:25">
      <c r="A439" s="1">
        <v>487</v>
      </c>
      <c r="B439" t="s">
        <v>708</v>
      </c>
      <c r="C439" t="s">
        <v>754</v>
      </c>
      <c r="D439" t="s">
        <v>755</v>
      </c>
      <c r="E439" t="s">
        <v>323</v>
      </c>
      <c r="F439" t="s">
        <v>28</v>
      </c>
      <c r="G439">
        <v>23</v>
      </c>
      <c r="H439">
        <v>7</v>
      </c>
      <c r="I439">
        <v>53</v>
      </c>
      <c r="J439">
        <v>10</v>
      </c>
      <c r="K439">
        <v>0</v>
      </c>
      <c r="L439">
        <v>22</v>
      </c>
      <c r="M439">
        <v>40</v>
      </c>
      <c r="N439" t="s">
        <v>707</v>
      </c>
      <c r="O439" t="s">
        <v>702</v>
      </c>
      <c r="P439" t="s">
        <v>221</v>
      </c>
      <c r="Q439" t="s">
        <v>703</v>
      </c>
      <c r="R439" t="s">
        <v>704</v>
      </c>
      <c r="S439">
        <v>34</v>
      </c>
      <c r="T439">
        <v>88</v>
      </c>
      <c r="U439">
        <f t="shared" si="25"/>
        <v>-6.77137431941871</v>
      </c>
      <c r="V439">
        <f t="shared" si="26"/>
        <v>-814.454452660417</v>
      </c>
      <c r="W439">
        <f t="shared" si="27"/>
        <v>-6771.37431941871</v>
      </c>
      <c r="X439">
        <f t="shared" si="28"/>
        <v>-2.75153531304195</v>
      </c>
      <c r="Y439">
        <v>23</v>
      </c>
    </row>
    <row r="440" spans="1:25">
      <c r="A440" s="1">
        <v>488</v>
      </c>
      <c r="B440" t="s">
        <v>698</v>
      </c>
      <c r="C440" t="s">
        <v>756</v>
      </c>
      <c r="D440" t="s">
        <v>700</v>
      </c>
      <c r="E440" t="s">
        <v>51</v>
      </c>
      <c r="F440" t="s">
        <v>28</v>
      </c>
      <c r="G440">
        <v>23</v>
      </c>
      <c r="H440">
        <v>7</v>
      </c>
      <c r="I440">
        <v>24</v>
      </c>
      <c r="J440">
        <v>10</v>
      </c>
      <c r="K440">
        <v>0</v>
      </c>
      <c r="L440">
        <v>22</v>
      </c>
      <c r="M440">
        <v>14</v>
      </c>
      <c r="N440" t="s">
        <v>701</v>
      </c>
      <c r="O440" t="s">
        <v>702</v>
      </c>
      <c r="P440" t="s">
        <v>221</v>
      </c>
      <c r="Q440" t="s">
        <v>703</v>
      </c>
      <c r="R440" t="s">
        <v>704</v>
      </c>
      <c r="S440">
        <v>42</v>
      </c>
      <c r="T440">
        <v>38</v>
      </c>
      <c r="U440">
        <f t="shared" si="25"/>
        <v>-1.9690487908951</v>
      </c>
      <c r="V440">
        <f t="shared" si="26"/>
        <v>-236.835312833185</v>
      </c>
      <c r="W440">
        <f t="shared" si="27"/>
        <v>-1969.0487908951</v>
      </c>
      <c r="X440">
        <f t="shared" si="28"/>
        <v>-0.800119300112113</v>
      </c>
      <c r="Y440">
        <v>23</v>
      </c>
    </row>
    <row r="441" spans="1:25">
      <c r="A441" s="1">
        <v>489</v>
      </c>
      <c r="B441" t="s">
        <v>705</v>
      </c>
      <c r="C441" t="s">
        <v>756</v>
      </c>
      <c r="D441" t="s">
        <v>700</v>
      </c>
      <c r="E441" t="s">
        <v>51</v>
      </c>
      <c r="F441" t="s">
        <v>28</v>
      </c>
      <c r="G441">
        <v>23</v>
      </c>
      <c r="H441">
        <v>7</v>
      </c>
      <c r="I441">
        <v>24</v>
      </c>
      <c r="J441">
        <v>10</v>
      </c>
      <c r="K441">
        <v>0</v>
      </c>
      <c r="L441">
        <v>22</v>
      </c>
      <c r="M441">
        <v>14</v>
      </c>
      <c r="N441" t="s">
        <v>701</v>
      </c>
      <c r="O441" t="s">
        <v>702</v>
      </c>
      <c r="P441" t="s">
        <v>221</v>
      </c>
      <c r="Q441" t="s">
        <v>703</v>
      </c>
      <c r="R441" t="s">
        <v>704</v>
      </c>
      <c r="S441">
        <v>27</v>
      </c>
      <c r="T441">
        <v>46</v>
      </c>
      <c r="U441">
        <f t="shared" si="25"/>
        <v>-2.44771045856533</v>
      </c>
      <c r="V441">
        <f t="shared" si="26"/>
        <v>-294.408282242642</v>
      </c>
      <c r="W441">
        <f t="shared" si="27"/>
        <v>-2447.71045856533</v>
      </c>
      <c r="X441">
        <f t="shared" si="28"/>
        <v>-0.994622575144062</v>
      </c>
      <c r="Y441">
        <v>23</v>
      </c>
    </row>
    <row r="442" spans="1:25">
      <c r="A442" s="1">
        <v>490</v>
      </c>
      <c r="B442" t="s">
        <v>757</v>
      </c>
      <c r="C442" t="s">
        <v>756</v>
      </c>
      <c r="D442" t="s">
        <v>700</v>
      </c>
      <c r="E442" t="s">
        <v>51</v>
      </c>
      <c r="F442" t="s">
        <v>28</v>
      </c>
      <c r="G442">
        <v>23</v>
      </c>
      <c r="H442">
        <v>7</v>
      </c>
      <c r="I442">
        <v>24</v>
      </c>
      <c r="J442">
        <v>10</v>
      </c>
      <c r="K442">
        <v>0</v>
      </c>
      <c r="L442">
        <v>22</v>
      </c>
      <c r="M442">
        <v>14</v>
      </c>
      <c r="N442" t="s">
        <v>701</v>
      </c>
      <c r="O442" t="s">
        <v>702</v>
      </c>
      <c r="P442" t="s">
        <v>221</v>
      </c>
      <c r="Q442" t="s">
        <v>703</v>
      </c>
      <c r="R442" t="s">
        <v>704</v>
      </c>
      <c r="S442">
        <v>56</v>
      </c>
      <c r="T442">
        <v>28</v>
      </c>
      <c r="U442">
        <f t="shared" si="25"/>
        <v>-1.41593894021555</v>
      </c>
      <c r="V442">
        <f t="shared" si="26"/>
        <v>-170.307786891454</v>
      </c>
      <c r="W442">
        <f t="shared" si="27"/>
        <v>-1415.93894021555</v>
      </c>
      <c r="X442">
        <f t="shared" si="28"/>
        <v>-0.575364144903562</v>
      </c>
      <c r="Y442">
        <v>23</v>
      </c>
    </row>
    <row r="443" spans="1:25">
      <c r="A443" s="1">
        <v>491</v>
      </c>
      <c r="B443" t="s">
        <v>758</v>
      </c>
      <c r="C443" t="s">
        <v>756</v>
      </c>
      <c r="D443" t="s">
        <v>700</v>
      </c>
      <c r="E443" t="s">
        <v>51</v>
      </c>
      <c r="F443" t="s">
        <v>28</v>
      </c>
      <c r="G443">
        <v>23</v>
      </c>
      <c r="H443">
        <v>7</v>
      </c>
      <c r="I443">
        <v>24</v>
      </c>
      <c r="J443">
        <v>10</v>
      </c>
      <c r="K443">
        <v>0</v>
      </c>
      <c r="L443">
        <v>22</v>
      </c>
      <c r="M443">
        <v>14</v>
      </c>
      <c r="N443" t="s">
        <v>701</v>
      </c>
      <c r="O443" t="s">
        <v>702</v>
      </c>
      <c r="P443" t="s">
        <v>221</v>
      </c>
      <c r="Q443" t="s">
        <v>703</v>
      </c>
      <c r="R443" t="s">
        <v>704</v>
      </c>
      <c r="S443">
        <v>22</v>
      </c>
      <c r="T443">
        <v>38</v>
      </c>
      <c r="U443">
        <f t="shared" si="25"/>
        <v>-1.9690487908951</v>
      </c>
      <c r="V443">
        <f t="shared" si="26"/>
        <v>-236.835312833185</v>
      </c>
      <c r="W443">
        <f t="shared" si="27"/>
        <v>-1969.0487908951</v>
      </c>
      <c r="X443">
        <f t="shared" si="28"/>
        <v>-0.800119300112113</v>
      </c>
      <c r="Y443">
        <v>23</v>
      </c>
    </row>
    <row r="444" spans="1:25">
      <c r="A444" s="1">
        <v>492</v>
      </c>
      <c r="B444" t="s">
        <v>759</v>
      </c>
      <c r="C444" t="s">
        <v>756</v>
      </c>
      <c r="D444" t="s">
        <v>700</v>
      </c>
      <c r="E444" t="s">
        <v>51</v>
      </c>
      <c r="F444" t="s">
        <v>28</v>
      </c>
      <c r="G444">
        <v>23</v>
      </c>
      <c r="H444">
        <v>7</v>
      </c>
      <c r="I444">
        <v>24</v>
      </c>
      <c r="J444">
        <v>10</v>
      </c>
      <c r="K444">
        <v>0</v>
      </c>
      <c r="L444">
        <v>22</v>
      </c>
      <c r="M444">
        <v>14</v>
      </c>
      <c r="N444" t="s">
        <v>701</v>
      </c>
      <c r="O444" t="s">
        <v>702</v>
      </c>
      <c r="P444" t="s">
        <v>221</v>
      </c>
      <c r="Q444" t="s">
        <v>703</v>
      </c>
      <c r="R444" t="s">
        <v>704</v>
      </c>
      <c r="S444">
        <v>5</v>
      </c>
      <c r="T444">
        <v>2</v>
      </c>
      <c r="U444">
        <f t="shared" si="25"/>
        <v>-0.0984508881855754</v>
      </c>
      <c r="V444">
        <f t="shared" si="26"/>
        <v>-11.841579045655</v>
      </c>
      <c r="W444">
        <f t="shared" si="27"/>
        <v>-98.4508881855754</v>
      </c>
      <c r="X444">
        <f t="shared" si="28"/>
        <v>-0.0400053346136992</v>
      </c>
      <c r="Y444">
        <v>23</v>
      </c>
    </row>
    <row r="445" spans="1:25">
      <c r="A445" s="1">
        <v>493</v>
      </c>
      <c r="B445" t="s">
        <v>698</v>
      </c>
      <c r="C445" t="s">
        <v>756</v>
      </c>
      <c r="D445" t="s">
        <v>700</v>
      </c>
      <c r="E445" t="s">
        <v>51</v>
      </c>
      <c r="F445" t="s">
        <v>28</v>
      </c>
      <c r="G445">
        <v>23</v>
      </c>
      <c r="H445">
        <v>7</v>
      </c>
      <c r="I445">
        <v>7</v>
      </c>
      <c r="J445">
        <v>10</v>
      </c>
      <c r="K445">
        <v>0</v>
      </c>
      <c r="L445">
        <v>22</v>
      </c>
      <c r="M445">
        <v>14</v>
      </c>
      <c r="N445" t="s">
        <v>760</v>
      </c>
      <c r="O445" t="s">
        <v>702</v>
      </c>
      <c r="P445" t="s">
        <v>221</v>
      </c>
      <c r="Q445" t="s">
        <v>703</v>
      </c>
      <c r="R445" t="s">
        <v>704</v>
      </c>
      <c r="S445">
        <v>62</v>
      </c>
      <c r="T445">
        <v>46</v>
      </c>
      <c r="U445">
        <f t="shared" si="25"/>
        <v>-2.44771045856533</v>
      </c>
      <c r="V445">
        <f t="shared" si="26"/>
        <v>-294.408282242642</v>
      </c>
      <c r="W445">
        <f t="shared" si="27"/>
        <v>-2447.71045856533</v>
      </c>
      <c r="X445">
        <f t="shared" si="28"/>
        <v>-0.994622575144062</v>
      </c>
      <c r="Y445">
        <v>23</v>
      </c>
    </row>
    <row r="446" spans="1:25">
      <c r="A446" s="1">
        <v>494</v>
      </c>
      <c r="B446" t="s">
        <v>698</v>
      </c>
      <c r="C446" t="s">
        <v>756</v>
      </c>
      <c r="D446" t="s">
        <v>700</v>
      </c>
      <c r="E446" t="s">
        <v>51</v>
      </c>
      <c r="F446" t="s">
        <v>28</v>
      </c>
      <c r="G446">
        <v>23</v>
      </c>
      <c r="H446">
        <v>7</v>
      </c>
      <c r="I446">
        <v>12</v>
      </c>
      <c r="J446">
        <v>10</v>
      </c>
      <c r="K446">
        <v>0</v>
      </c>
      <c r="L446">
        <v>22</v>
      </c>
      <c r="M446">
        <v>14</v>
      </c>
      <c r="N446" t="s">
        <v>396</v>
      </c>
      <c r="O446" t="s">
        <v>702</v>
      </c>
      <c r="P446" t="s">
        <v>221</v>
      </c>
      <c r="Q446" t="s">
        <v>703</v>
      </c>
      <c r="R446" t="s">
        <v>704</v>
      </c>
      <c r="S446">
        <v>56</v>
      </c>
      <c r="T446">
        <v>38</v>
      </c>
      <c r="U446">
        <f t="shared" si="25"/>
        <v>-1.9690487908951</v>
      </c>
      <c r="V446">
        <f t="shared" si="26"/>
        <v>-236.835312833185</v>
      </c>
      <c r="W446">
        <f t="shared" si="27"/>
        <v>-1969.0487908951</v>
      </c>
      <c r="X446">
        <f t="shared" si="28"/>
        <v>-0.800119300112113</v>
      </c>
      <c r="Y446">
        <v>23</v>
      </c>
    </row>
    <row r="447" spans="1:25">
      <c r="A447" s="1">
        <v>495</v>
      </c>
      <c r="B447" t="s">
        <v>698</v>
      </c>
      <c r="C447" t="s">
        <v>756</v>
      </c>
      <c r="D447" t="s">
        <v>700</v>
      </c>
      <c r="E447" t="s">
        <v>51</v>
      </c>
      <c r="F447" t="s">
        <v>28</v>
      </c>
      <c r="G447">
        <v>23</v>
      </c>
      <c r="H447">
        <v>7</v>
      </c>
      <c r="I447">
        <v>31</v>
      </c>
      <c r="J447">
        <v>10</v>
      </c>
      <c r="K447">
        <v>0</v>
      </c>
      <c r="L447">
        <v>22</v>
      </c>
      <c r="M447">
        <v>14</v>
      </c>
      <c r="N447" t="s">
        <v>394</v>
      </c>
      <c r="O447" t="s">
        <v>702</v>
      </c>
      <c r="P447" t="s">
        <v>221</v>
      </c>
      <c r="Q447" t="s">
        <v>703</v>
      </c>
      <c r="R447" t="s">
        <v>704</v>
      </c>
      <c r="S447">
        <v>43</v>
      </c>
      <c r="T447">
        <v>40</v>
      </c>
      <c r="U447">
        <f t="shared" si="25"/>
        <v>-2.08515258573273</v>
      </c>
      <c r="V447">
        <f t="shared" si="26"/>
        <v>-250.800166674612</v>
      </c>
      <c r="W447">
        <f t="shared" si="27"/>
        <v>-2085.15258573273</v>
      </c>
      <c r="X447">
        <f t="shared" si="28"/>
        <v>-0.847297860387204</v>
      </c>
      <c r="Y447">
        <v>23</v>
      </c>
    </row>
    <row r="448" spans="1:25">
      <c r="A448" s="1">
        <v>496</v>
      </c>
      <c r="B448" t="s">
        <v>698</v>
      </c>
      <c r="C448" t="s">
        <v>756</v>
      </c>
      <c r="D448" t="s">
        <v>700</v>
      </c>
      <c r="E448" t="s">
        <v>51</v>
      </c>
      <c r="F448" t="s">
        <v>28</v>
      </c>
      <c r="G448">
        <v>23</v>
      </c>
      <c r="H448">
        <v>7</v>
      </c>
      <c r="I448">
        <v>25</v>
      </c>
      <c r="J448">
        <v>10</v>
      </c>
      <c r="K448">
        <v>0</v>
      </c>
      <c r="L448">
        <v>22</v>
      </c>
      <c r="M448">
        <v>14</v>
      </c>
      <c r="N448" t="s">
        <v>761</v>
      </c>
      <c r="O448" t="s">
        <v>702</v>
      </c>
      <c r="P448" t="s">
        <v>221</v>
      </c>
      <c r="Q448" t="s">
        <v>703</v>
      </c>
      <c r="R448" t="s">
        <v>704</v>
      </c>
      <c r="S448">
        <v>24</v>
      </c>
      <c r="T448">
        <v>16</v>
      </c>
      <c r="U448">
        <f t="shared" si="25"/>
        <v>-0.794327243049402</v>
      </c>
      <c r="V448">
        <f t="shared" si="26"/>
        <v>-95.5409241098631</v>
      </c>
      <c r="W448">
        <f t="shared" si="27"/>
        <v>-794.327243049402</v>
      </c>
      <c r="X448">
        <f t="shared" si="28"/>
        <v>-0.322773392263051</v>
      </c>
      <c r="Y448">
        <v>23</v>
      </c>
    </row>
    <row r="449" spans="1:25">
      <c r="A449" s="1">
        <v>497</v>
      </c>
      <c r="B449" t="s">
        <v>698</v>
      </c>
      <c r="C449" t="s">
        <v>756</v>
      </c>
      <c r="D449" t="s">
        <v>700</v>
      </c>
      <c r="E449" t="s">
        <v>51</v>
      </c>
      <c r="F449" t="s">
        <v>28</v>
      </c>
      <c r="G449">
        <v>23</v>
      </c>
      <c r="H449">
        <v>7</v>
      </c>
      <c r="I449">
        <v>6</v>
      </c>
      <c r="J449">
        <v>10</v>
      </c>
      <c r="K449">
        <v>0</v>
      </c>
      <c r="L449">
        <v>22</v>
      </c>
      <c r="M449">
        <v>14</v>
      </c>
      <c r="N449" t="s">
        <v>762</v>
      </c>
      <c r="O449" t="s">
        <v>702</v>
      </c>
      <c r="P449" t="s">
        <v>221</v>
      </c>
      <c r="Q449" t="s">
        <v>703</v>
      </c>
      <c r="R449" t="s">
        <v>704</v>
      </c>
      <c r="S449">
        <v>21</v>
      </c>
      <c r="T449">
        <v>34</v>
      </c>
      <c r="U449">
        <f t="shared" si="25"/>
        <v>-1.74280376918892</v>
      </c>
      <c r="V449">
        <f t="shared" si="26"/>
        <v>-209.622777145648</v>
      </c>
      <c r="W449">
        <f t="shared" si="27"/>
        <v>-1742.80376918892</v>
      </c>
      <c r="X449">
        <f t="shared" si="28"/>
        <v>-0.708185057924486</v>
      </c>
      <c r="Y449">
        <v>23</v>
      </c>
    </row>
    <row r="450" spans="1:25">
      <c r="A450" s="1">
        <v>498</v>
      </c>
      <c r="B450" t="s">
        <v>698</v>
      </c>
      <c r="C450" t="s">
        <v>756</v>
      </c>
      <c r="D450" t="s">
        <v>700</v>
      </c>
      <c r="E450" t="s">
        <v>51</v>
      </c>
      <c r="F450" t="s">
        <v>28</v>
      </c>
      <c r="G450">
        <v>23</v>
      </c>
      <c r="H450">
        <v>7</v>
      </c>
      <c r="I450">
        <v>14</v>
      </c>
      <c r="J450">
        <v>10</v>
      </c>
      <c r="K450">
        <v>0</v>
      </c>
      <c r="L450">
        <v>22</v>
      </c>
      <c r="M450">
        <v>14</v>
      </c>
      <c r="N450" t="s">
        <v>214</v>
      </c>
      <c r="O450" t="s">
        <v>702</v>
      </c>
      <c r="P450" t="s">
        <v>221</v>
      </c>
      <c r="Q450" t="s">
        <v>703</v>
      </c>
      <c r="R450" t="s">
        <v>704</v>
      </c>
      <c r="S450">
        <v>52</v>
      </c>
      <c r="T450">
        <v>32</v>
      </c>
      <c r="U450">
        <f t="shared" ref="U450:U513" si="29">LN((1+T450*0.01)/(1-T450*0.01))*-(G450+273)*8.314/1000</f>
        <v>-1.63232992457049</v>
      </c>
      <c r="V450">
        <f t="shared" ref="V450:V513" si="30">LN((1+T450*0.01)/(1-T450*0.01))*-(G450+273)</f>
        <v>-196.335088353438</v>
      </c>
      <c r="W450">
        <f t="shared" ref="W450:W513" si="31">LN((1+T450*0.01)/(1-T450*0.01))*-(G450+273)*8.314</f>
        <v>-1632.32992457049</v>
      </c>
      <c r="X450">
        <f t="shared" si="28"/>
        <v>-0.663294217410264</v>
      </c>
      <c r="Y450">
        <v>23</v>
      </c>
    </row>
    <row r="451" spans="1:25">
      <c r="A451" s="1">
        <v>499</v>
      </c>
      <c r="B451" t="s">
        <v>698</v>
      </c>
      <c r="C451" t="s">
        <v>756</v>
      </c>
      <c r="D451" t="s">
        <v>700</v>
      </c>
      <c r="E451" t="s">
        <v>51</v>
      </c>
      <c r="F451" t="s">
        <v>28</v>
      </c>
      <c r="G451">
        <v>23</v>
      </c>
      <c r="H451">
        <v>7</v>
      </c>
      <c r="I451">
        <v>53</v>
      </c>
      <c r="J451">
        <v>10</v>
      </c>
      <c r="K451">
        <v>0</v>
      </c>
      <c r="L451">
        <v>22</v>
      </c>
      <c r="M451">
        <v>14</v>
      </c>
      <c r="N451" t="s">
        <v>707</v>
      </c>
      <c r="O451" t="s">
        <v>702</v>
      </c>
      <c r="P451" t="s">
        <v>221</v>
      </c>
      <c r="Q451" t="s">
        <v>703</v>
      </c>
      <c r="R451" t="s">
        <v>704</v>
      </c>
      <c r="S451">
        <v>75</v>
      </c>
      <c r="T451">
        <v>46</v>
      </c>
      <c r="U451">
        <f t="shared" si="29"/>
        <v>-2.44771045856533</v>
      </c>
      <c r="V451">
        <f t="shared" si="30"/>
        <v>-294.408282242642</v>
      </c>
      <c r="W451">
        <f t="shared" si="31"/>
        <v>-2447.71045856533</v>
      </c>
      <c r="X451">
        <f t="shared" si="28"/>
        <v>-0.994622575144062</v>
      </c>
      <c r="Y451">
        <v>23</v>
      </c>
    </row>
    <row r="452" spans="1:25">
      <c r="A452" s="1">
        <v>501</v>
      </c>
      <c r="B452" t="s">
        <v>698</v>
      </c>
      <c r="C452" t="s">
        <v>756</v>
      </c>
      <c r="D452" t="s">
        <v>700</v>
      </c>
      <c r="E452" t="s">
        <v>51</v>
      </c>
      <c r="F452" t="s">
        <v>28</v>
      </c>
      <c r="G452">
        <v>23</v>
      </c>
      <c r="H452">
        <v>7</v>
      </c>
      <c r="I452">
        <v>49</v>
      </c>
      <c r="J452">
        <v>10</v>
      </c>
      <c r="K452">
        <v>0</v>
      </c>
      <c r="L452">
        <v>22</v>
      </c>
      <c r="M452">
        <v>14</v>
      </c>
      <c r="N452" t="s">
        <v>29</v>
      </c>
      <c r="O452" t="s">
        <v>702</v>
      </c>
      <c r="P452" t="s">
        <v>221</v>
      </c>
      <c r="Q452" t="s">
        <v>703</v>
      </c>
      <c r="R452" t="s">
        <v>704</v>
      </c>
      <c r="S452">
        <v>48</v>
      </c>
      <c r="T452">
        <v>34</v>
      </c>
      <c r="U452">
        <f t="shared" si="29"/>
        <v>-1.74280376918892</v>
      </c>
      <c r="V452">
        <f t="shared" si="30"/>
        <v>-209.622777145648</v>
      </c>
      <c r="W452">
        <f t="shared" si="31"/>
        <v>-1742.80376918892</v>
      </c>
      <c r="X452">
        <f t="shared" si="28"/>
        <v>-0.708185057924486</v>
      </c>
      <c r="Y452">
        <v>23</v>
      </c>
    </row>
    <row r="453" spans="1:25">
      <c r="A453" s="1">
        <v>502</v>
      </c>
      <c r="B453" t="s">
        <v>698</v>
      </c>
      <c r="C453" t="s">
        <v>756</v>
      </c>
      <c r="D453" t="s">
        <v>700</v>
      </c>
      <c r="E453" t="s">
        <v>51</v>
      </c>
      <c r="F453" t="s">
        <v>28</v>
      </c>
      <c r="G453">
        <v>23</v>
      </c>
      <c r="H453">
        <v>7</v>
      </c>
      <c r="I453">
        <v>48</v>
      </c>
      <c r="J453">
        <v>10</v>
      </c>
      <c r="K453">
        <v>0</v>
      </c>
      <c r="L453">
        <v>22</v>
      </c>
      <c r="M453">
        <v>14</v>
      </c>
      <c r="N453" t="s">
        <v>763</v>
      </c>
      <c r="O453" t="s">
        <v>702</v>
      </c>
      <c r="P453" t="s">
        <v>221</v>
      </c>
      <c r="Q453" t="s">
        <v>703</v>
      </c>
      <c r="R453" t="s">
        <v>704</v>
      </c>
      <c r="S453">
        <v>58</v>
      </c>
      <c r="T453">
        <v>30</v>
      </c>
      <c r="U453">
        <f t="shared" si="29"/>
        <v>-1.52342082569205</v>
      </c>
      <c r="V453">
        <f t="shared" si="30"/>
        <v>-183.235605688242</v>
      </c>
      <c r="W453">
        <f t="shared" si="31"/>
        <v>-1523.42082569205</v>
      </c>
      <c r="X453">
        <f t="shared" si="28"/>
        <v>-0.619039208406224</v>
      </c>
      <c r="Y453">
        <v>23</v>
      </c>
    </row>
    <row r="454" spans="1:25">
      <c r="A454" s="1">
        <v>503</v>
      </c>
      <c r="B454" t="s">
        <v>698</v>
      </c>
      <c r="C454" t="s">
        <v>756</v>
      </c>
      <c r="D454" t="s">
        <v>700</v>
      </c>
      <c r="E454" t="s">
        <v>51</v>
      </c>
      <c r="F454" t="s">
        <v>28</v>
      </c>
      <c r="G454">
        <v>23</v>
      </c>
      <c r="H454">
        <v>7</v>
      </c>
      <c r="I454">
        <v>5</v>
      </c>
      <c r="J454">
        <v>10</v>
      </c>
      <c r="K454">
        <v>0</v>
      </c>
      <c r="L454">
        <v>22</v>
      </c>
      <c r="M454">
        <v>14</v>
      </c>
      <c r="N454" t="s">
        <v>764</v>
      </c>
      <c r="O454" t="s">
        <v>702</v>
      </c>
      <c r="P454" t="s">
        <v>221</v>
      </c>
      <c r="Q454" t="s">
        <v>703</v>
      </c>
      <c r="R454" t="s">
        <v>704</v>
      </c>
      <c r="S454">
        <v>14</v>
      </c>
      <c r="T454">
        <v>34</v>
      </c>
      <c r="U454">
        <f t="shared" si="29"/>
        <v>-1.74280376918892</v>
      </c>
      <c r="V454">
        <f t="shared" si="30"/>
        <v>-209.622777145648</v>
      </c>
      <c r="W454">
        <f t="shared" si="31"/>
        <v>-1742.80376918892</v>
      </c>
      <c r="X454">
        <f t="shared" si="28"/>
        <v>-0.708185057924486</v>
      </c>
      <c r="Y454">
        <v>23</v>
      </c>
    </row>
    <row r="455" spans="1:25">
      <c r="A455" s="1">
        <v>504</v>
      </c>
      <c r="B455" t="s">
        <v>698</v>
      </c>
      <c r="C455" t="s">
        <v>756</v>
      </c>
      <c r="D455" t="s">
        <v>700</v>
      </c>
      <c r="E455" t="s">
        <v>51</v>
      </c>
      <c r="F455" t="s">
        <v>28</v>
      </c>
      <c r="G455">
        <v>23</v>
      </c>
      <c r="H455">
        <v>7</v>
      </c>
      <c r="I455">
        <v>52</v>
      </c>
      <c r="J455">
        <v>10</v>
      </c>
      <c r="K455">
        <v>0</v>
      </c>
      <c r="L455">
        <v>22</v>
      </c>
      <c r="M455">
        <v>14</v>
      </c>
      <c r="N455" t="s">
        <v>765</v>
      </c>
      <c r="O455" t="s">
        <v>702</v>
      </c>
      <c r="P455" t="s">
        <v>221</v>
      </c>
      <c r="Q455" t="s">
        <v>703</v>
      </c>
      <c r="R455" t="s">
        <v>704</v>
      </c>
      <c r="S455">
        <v>12</v>
      </c>
      <c r="T455">
        <v>34</v>
      </c>
      <c r="U455">
        <f t="shared" si="29"/>
        <v>-1.74280376918892</v>
      </c>
      <c r="V455">
        <f t="shared" si="30"/>
        <v>-209.622777145648</v>
      </c>
      <c r="W455">
        <f t="shared" si="31"/>
        <v>-1742.80376918892</v>
      </c>
      <c r="X455">
        <f t="shared" si="28"/>
        <v>-0.708185057924486</v>
      </c>
      <c r="Y455">
        <v>23</v>
      </c>
    </row>
    <row r="456" spans="1:25">
      <c r="A456" s="1">
        <v>505</v>
      </c>
      <c r="B456" t="s">
        <v>705</v>
      </c>
      <c r="C456" t="s">
        <v>756</v>
      </c>
      <c r="D456" t="s">
        <v>700</v>
      </c>
      <c r="E456" t="s">
        <v>51</v>
      </c>
      <c r="F456" t="s">
        <v>28</v>
      </c>
      <c r="G456">
        <v>23</v>
      </c>
      <c r="H456">
        <v>7</v>
      </c>
      <c r="I456">
        <v>24</v>
      </c>
      <c r="J456">
        <v>10</v>
      </c>
      <c r="K456">
        <v>0</v>
      </c>
      <c r="L456">
        <v>22</v>
      </c>
      <c r="M456">
        <v>14</v>
      </c>
      <c r="N456" t="s">
        <v>701</v>
      </c>
      <c r="O456" t="s">
        <v>702</v>
      </c>
      <c r="P456" t="s">
        <v>221</v>
      </c>
      <c r="Q456" t="s">
        <v>703</v>
      </c>
      <c r="R456" t="s">
        <v>704</v>
      </c>
      <c r="S456">
        <v>40</v>
      </c>
      <c r="T456">
        <v>44</v>
      </c>
      <c r="U456">
        <f t="shared" si="29"/>
        <v>-2.32426712950724</v>
      </c>
      <c r="V456">
        <f t="shared" si="30"/>
        <v>-279.560636216892</v>
      </c>
      <c r="W456">
        <f t="shared" si="31"/>
        <v>-2324.26712950724</v>
      </c>
      <c r="X456">
        <f t="shared" si="28"/>
        <v>-0.944461608840851</v>
      </c>
      <c r="Y456">
        <v>23</v>
      </c>
    </row>
    <row r="457" spans="1:25">
      <c r="A457" s="1">
        <v>506</v>
      </c>
      <c r="B457" t="s">
        <v>705</v>
      </c>
      <c r="C457" t="s">
        <v>756</v>
      </c>
      <c r="D457" t="s">
        <v>700</v>
      </c>
      <c r="E457" t="s">
        <v>51</v>
      </c>
      <c r="F457" t="s">
        <v>28</v>
      </c>
      <c r="G457">
        <v>23</v>
      </c>
      <c r="H457">
        <v>7</v>
      </c>
      <c r="I457">
        <v>7</v>
      </c>
      <c r="J457">
        <v>10</v>
      </c>
      <c r="K457">
        <v>0</v>
      </c>
      <c r="L457">
        <v>22</v>
      </c>
      <c r="M457">
        <v>14</v>
      </c>
      <c r="N457" t="s">
        <v>760</v>
      </c>
      <c r="O457" t="s">
        <v>702</v>
      </c>
      <c r="P457" t="s">
        <v>221</v>
      </c>
      <c r="Q457" t="s">
        <v>703</v>
      </c>
      <c r="R457" t="s">
        <v>704</v>
      </c>
      <c r="S457">
        <v>37</v>
      </c>
      <c r="T457">
        <v>4</v>
      </c>
      <c r="U457">
        <f t="shared" si="29"/>
        <v>-0.196980621192944</v>
      </c>
      <c r="V457">
        <f t="shared" si="30"/>
        <v>-23.6926414713668</v>
      </c>
      <c r="W457">
        <f t="shared" si="31"/>
        <v>-196.980621192944</v>
      </c>
      <c r="X457">
        <f t="shared" si="28"/>
        <v>-0.0800427076735366</v>
      </c>
      <c r="Y457">
        <v>23</v>
      </c>
    </row>
    <row r="458" spans="1:25">
      <c r="A458" s="1">
        <v>507</v>
      </c>
      <c r="B458" t="s">
        <v>705</v>
      </c>
      <c r="C458" t="s">
        <v>756</v>
      </c>
      <c r="D458" t="s">
        <v>700</v>
      </c>
      <c r="E458" t="s">
        <v>51</v>
      </c>
      <c r="F458" t="s">
        <v>28</v>
      </c>
      <c r="G458">
        <v>23</v>
      </c>
      <c r="H458">
        <v>7</v>
      </c>
      <c r="I458">
        <v>12</v>
      </c>
      <c r="J458">
        <v>10</v>
      </c>
      <c r="K458">
        <v>0</v>
      </c>
      <c r="L458">
        <v>22</v>
      </c>
      <c r="M458">
        <v>14</v>
      </c>
      <c r="N458" t="s">
        <v>396</v>
      </c>
      <c r="O458" t="s">
        <v>702</v>
      </c>
      <c r="P458" t="s">
        <v>221</v>
      </c>
      <c r="Q458" t="s">
        <v>703</v>
      </c>
      <c r="R458" t="s">
        <v>704</v>
      </c>
      <c r="S458">
        <v>43</v>
      </c>
      <c r="T458">
        <v>46</v>
      </c>
      <c r="U458">
        <f t="shared" si="29"/>
        <v>-2.44771045856533</v>
      </c>
      <c r="V458">
        <f t="shared" si="30"/>
        <v>-294.408282242642</v>
      </c>
      <c r="W458">
        <f t="shared" si="31"/>
        <v>-2447.71045856533</v>
      </c>
      <c r="X458">
        <f t="shared" si="28"/>
        <v>-0.994622575144062</v>
      </c>
      <c r="Y458">
        <v>23</v>
      </c>
    </row>
    <row r="459" spans="1:25">
      <c r="A459" s="1">
        <v>508</v>
      </c>
      <c r="B459" t="s">
        <v>705</v>
      </c>
      <c r="C459" t="s">
        <v>756</v>
      </c>
      <c r="D459" t="s">
        <v>700</v>
      </c>
      <c r="E459" t="s">
        <v>51</v>
      </c>
      <c r="F459" t="s">
        <v>28</v>
      </c>
      <c r="G459">
        <v>23</v>
      </c>
      <c r="H459">
        <v>7</v>
      </c>
      <c r="I459">
        <v>31</v>
      </c>
      <c r="J459">
        <v>10</v>
      </c>
      <c r="K459">
        <v>0</v>
      </c>
      <c r="L459">
        <v>22</v>
      </c>
      <c r="M459">
        <v>14</v>
      </c>
      <c r="N459" t="s">
        <v>394</v>
      </c>
      <c r="O459" t="s">
        <v>702</v>
      </c>
      <c r="P459" t="s">
        <v>221</v>
      </c>
      <c r="Q459" t="s">
        <v>703</v>
      </c>
      <c r="R459" t="s">
        <v>704</v>
      </c>
      <c r="S459">
        <v>6</v>
      </c>
      <c r="T459">
        <v>48</v>
      </c>
      <c r="U459">
        <f t="shared" si="29"/>
        <v>-2.5740700400655</v>
      </c>
      <c r="V459">
        <f t="shared" si="30"/>
        <v>-309.606692334076</v>
      </c>
      <c r="W459">
        <f t="shared" si="31"/>
        <v>-2574.0700400655</v>
      </c>
      <c r="X459">
        <f t="shared" si="28"/>
        <v>-1.04596855518269</v>
      </c>
      <c r="Y459">
        <v>23</v>
      </c>
    </row>
    <row r="460" spans="1:25">
      <c r="A460" s="1">
        <v>509</v>
      </c>
      <c r="B460" t="s">
        <v>705</v>
      </c>
      <c r="C460" t="s">
        <v>756</v>
      </c>
      <c r="D460" t="s">
        <v>700</v>
      </c>
      <c r="E460" t="s">
        <v>51</v>
      </c>
      <c r="F460" t="s">
        <v>28</v>
      </c>
      <c r="G460">
        <v>23</v>
      </c>
      <c r="H460">
        <v>7</v>
      </c>
      <c r="I460">
        <v>25</v>
      </c>
      <c r="J460">
        <v>10</v>
      </c>
      <c r="K460">
        <v>0</v>
      </c>
      <c r="L460">
        <v>22</v>
      </c>
      <c r="M460">
        <v>14</v>
      </c>
      <c r="N460" t="s">
        <v>761</v>
      </c>
      <c r="O460" t="s">
        <v>702</v>
      </c>
      <c r="P460" t="s">
        <v>221</v>
      </c>
      <c r="Q460" t="s">
        <v>703</v>
      </c>
      <c r="R460" t="s">
        <v>704</v>
      </c>
      <c r="S460">
        <v>9</v>
      </c>
      <c r="T460">
        <v>48</v>
      </c>
      <c r="U460">
        <f t="shared" si="29"/>
        <v>-2.5740700400655</v>
      </c>
      <c r="V460">
        <f t="shared" si="30"/>
        <v>-309.606692334076</v>
      </c>
      <c r="W460">
        <f t="shared" si="31"/>
        <v>-2574.0700400655</v>
      </c>
      <c r="X460">
        <f t="shared" si="28"/>
        <v>-1.04596855518269</v>
      </c>
      <c r="Y460">
        <v>23</v>
      </c>
    </row>
    <row r="461" spans="1:25">
      <c r="A461" s="1">
        <v>511</v>
      </c>
      <c r="B461" t="s">
        <v>705</v>
      </c>
      <c r="C461" t="s">
        <v>756</v>
      </c>
      <c r="D461" t="s">
        <v>700</v>
      </c>
      <c r="E461" t="s">
        <v>51</v>
      </c>
      <c r="F461" t="s">
        <v>28</v>
      </c>
      <c r="G461">
        <v>23</v>
      </c>
      <c r="H461">
        <v>7</v>
      </c>
      <c r="I461">
        <v>14</v>
      </c>
      <c r="J461">
        <v>10</v>
      </c>
      <c r="K461">
        <v>0</v>
      </c>
      <c r="L461">
        <v>22</v>
      </c>
      <c r="M461">
        <v>14</v>
      </c>
      <c r="N461" t="s">
        <v>214</v>
      </c>
      <c r="O461" t="s">
        <v>702</v>
      </c>
      <c r="P461" t="s">
        <v>221</v>
      </c>
      <c r="Q461" t="s">
        <v>703</v>
      </c>
      <c r="R461" t="s">
        <v>704</v>
      </c>
      <c r="S461">
        <v>56</v>
      </c>
      <c r="T461">
        <v>56</v>
      </c>
      <c r="U461">
        <f t="shared" si="29"/>
        <v>-3.11473406745136</v>
      </c>
      <c r="V461">
        <f t="shared" si="30"/>
        <v>-374.637246506058</v>
      </c>
      <c r="W461">
        <f t="shared" si="31"/>
        <v>-3114.73406745136</v>
      </c>
      <c r="X461">
        <f t="shared" si="28"/>
        <v>-1.26566637333128</v>
      </c>
      <c r="Y461">
        <v>23</v>
      </c>
    </row>
    <row r="462" spans="1:25">
      <c r="A462" s="1">
        <v>512</v>
      </c>
      <c r="B462" t="s">
        <v>705</v>
      </c>
      <c r="C462" t="s">
        <v>756</v>
      </c>
      <c r="D462" t="s">
        <v>700</v>
      </c>
      <c r="E462" t="s">
        <v>51</v>
      </c>
      <c r="F462" t="s">
        <v>28</v>
      </c>
      <c r="G462">
        <v>23</v>
      </c>
      <c r="H462">
        <v>7</v>
      </c>
      <c r="I462">
        <v>53</v>
      </c>
      <c r="J462">
        <v>10</v>
      </c>
      <c r="K462">
        <v>0</v>
      </c>
      <c r="L462">
        <v>22</v>
      </c>
      <c r="M462">
        <v>14</v>
      </c>
      <c r="N462" t="s">
        <v>707</v>
      </c>
      <c r="O462" t="s">
        <v>702</v>
      </c>
      <c r="P462" t="s">
        <v>221</v>
      </c>
      <c r="Q462" t="s">
        <v>703</v>
      </c>
      <c r="R462" t="s">
        <v>704</v>
      </c>
      <c r="S462">
        <v>41</v>
      </c>
      <c r="T462">
        <v>50</v>
      </c>
      <c r="U462">
        <f t="shared" si="29"/>
        <v>-2.70362332012405</v>
      </c>
      <c r="V462">
        <f t="shared" si="30"/>
        <v>-325.189237445761</v>
      </c>
      <c r="W462">
        <f t="shared" si="31"/>
        <v>-2703.62332012405</v>
      </c>
      <c r="X462">
        <f t="shared" si="28"/>
        <v>-1.09861228866811</v>
      </c>
      <c r="Y462">
        <v>23</v>
      </c>
    </row>
    <row r="463" spans="1:25">
      <c r="A463" s="1">
        <v>514</v>
      </c>
      <c r="B463" t="s">
        <v>705</v>
      </c>
      <c r="C463" t="s">
        <v>756</v>
      </c>
      <c r="D463" t="s">
        <v>700</v>
      </c>
      <c r="E463" t="s">
        <v>51</v>
      </c>
      <c r="F463" t="s">
        <v>28</v>
      </c>
      <c r="G463">
        <v>23</v>
      </c>
      <c r="H463">
        <v>7</v>
      </c>
      <c r="I463">
        <v>49</v>
      </c>
      <c r="J463">
        <v>10</v>
      </c>
      <c r="K463">
        <v>0</v>
      </c>
      <c r="L463">
        <v>22</v>
      </c>
      <c r="M463">
        <v>14</v>
      </c>
      <c r="N463" t="s">
        <v>29</v>
      </c>
      <c r="O463" t="s">
        <v>702</v>
      </c>
      <c r="P463" t="s">
        <v>221</v>
      </c>
      <c r="Q463" t="s">
        <v>703</v>
      </c>
      <c r="R463" t="s">
        <v>704</v>
      </c>
      <c r="S463">
        <v>25</v>
      </c>
      <c r="T463">
        <v>50</v>
      </c>
      <c r="U463">
        <f t="shared" si="29"/>
        <v>-2.70362332012405</v>
      </c>
      <c r="V463">
        <f t="shared" si="30"/>
        <v>-325.189237445761</v>
      </c>
      <c r="W463">
        <f t="shared" si="31"/>
        <v>-2703.62332012405</v>
      </c>
      <c r="X463">
        <f t="shared" ref="X463:X515" si="32">-LN((1+T463*0.01)/(1-T463*0.01))</f>
        <v>-1.09861228866811</v>
      </c>
      <c r="Y463">
        <v>23</v>
      </c>
    </row>
    <row r="464" spans="1:25">
      <c r="A464" s="1">
        <v>515</v>
      </c>
      <c r="B464" t="s">
        <v>705</v>
      </c>
      <c r="C464" t="s">
        <v>756</v>
      </c>
      <c r="D464" t="s">
        <v>700</v>
      </c>
      <c r="E464" t="s">
        <v>51</v>
      </c>
      <c r="F464" t="s">
        <v>28</v>
      </c>
      <c r="G464">
        <v>23</v>
      </c>
      <c r="H464">
        <v>7</v>
      </c>
      <c r="I464">
        <v>48</v>
      </c>
      <c r="J464">
        <v>10</v>
      </c>
      <c r="K464">
        <v>0</v>
      </c>
      <c r="L464">
        <v>22</v>
      </c>
      <c r="M464">
        <v>14</v>
      </c>
      <c r="N464" t="s">
        <v>763</v>
      </c>
      <c r="O464" t="s">
        <v>702</v>
      </c>
      <c r="P464" t="s">
        <v>221</v>
      </c>
      <c r="Q464" t="s">
        <v>703</v>
      </c>
      <c r="R464" t="s">
        <v>704</v>
      </c>
      <c r="S464">
        <v>6</v>
      </c>
      <c r="T464">
        <v>52</v>
      </c>
      <c r="U464">
        <f t="shared" si="29"/>
        <v>-2.83667972390581</v>
      </c>
      <c r="V464">
        <f t="shared" si="30"/>
        <v>-341.193134941762</v>
      </c>
      <c r="W464">
        <f t="shared" si="31"/>
        <v>-2836.67972390581</v>
      </c>
      <c r="X464">
        <f t="shared" si="32"/>
        <v>-1.15267950993839</v>
      </c>
      <c r="Y464">
        <v>23</v>
      </c>
    </row>
    <row r="465" spans="1:25">
      <c r="A465" s="1">
        <v>516</v>
      </c>
      <c r="B465" t="s">
        <v>705</v>
      </c>
      <c r="C465" t="s">
        <v>756</v>
      </c>
      <c r="D465" t="s">
        <v>700</v>
      </c>
      <c r="E465" t="s">
        <v>51</v>
      </c>
      <c r="F465" t="s">
        <v>28</v>
      </c>
      <c r="G465">
        <v>23</v>
      </c>
      <c r="H465">
        <v>7</v>
      </c>
      <c r="I465">
        <v>5</v>
      </c>
      <c r="J465">
        <v>10</v>
      </c>
      <c r="K465">
        <v>0</v>
      </c>
      <c r="L465">
        <v>22</v>
      </c>
      <c r="M465">
        <v>14</v>
      </c>
      <c r="N465" t="s">
        <v>764</v>
      </c>
      <c r="O465" t="s">
        <v>702</v>
      </c>
      <c r="P465" t="s">
        <v>221</v>
      </c>
      <c r="Q465" t="s">
        <v>703</v>
      </c>
      <c r="R465" t="s">
        <v>704</v>
      </c>
      <c r="S465">
        <v>23</v>
      </c>
      <c r="T465">
        <v>8</v>
      </c>
      <c r="U465">
        <f t="shared" si="29"/>
        <v>-0.394594282646613</v>
      </c>
      <c r="V465">
        <f t="shared" si="30"/>
        <v>-47.4614244222531</v>
      </c>
      <c r="W465">
        <f t="shared" si="31"/>
        <v>-394.594282646613</v>
      </c>
      <c r="X465">
        <f t="shared" si="32"/>
        <v>-0.16034265007518</v>
      </c>
      <c r="Y465">
        <v>23</v>
      </c>
    </row>
    <row r="466" spans="1:25">
      <c r="A466" s="1">
        <v>518</v>
      </c>
      <c r="B466" t="s">
        <v>705</v>
      </c>
      <c r="C466" t="s">
        <v>756</v>
      </c>
      <c r="D466" t="s">
        <v>700</v>
      </c>
      <c r="E466" t="s">
        <v>51</v>
      </c>
      <c r="F466" t="s">
        <v>28</v>
      </c>
      <c r="G466">
        <v>23</v>
      </c>
      <c r="H466">
        <v>7</v>
      </c>
      <c r="I466">
        <v>21</v>
      </c>
      <c r="J466">
        <v>10</v>
      </c>
      <c r="K466">
        <v>0</v>
      </c>
      <c r="L466">
        <v>22</v>
      </c>
      <c r="M466">
        <v>14</v>
      </c>
      <c r="N466" t="s">
        <v>766</v>
      </c>
      <c r="O466" t="s">
        <v>702</v>
      </c>
      <c r="P466" t="s">
        <v>221</v>
      </c>
      <c r="Q466" t="s">
        <v>703</v>
      </c>
      <c r="R466" t="s">
        <v>704</v>
      </c>
      <c r="S466">
        <v>5</v>
      </c>
      <c r="T466">
        <v>34</v>
      </c>
      <c r="U466">
        <f t="shared" si="29"/>
        <v>-1.74280376918892</v>
      </c>
      <c r="V466">
        <f t="shared" si="30"/>
        <v>-209.622777145648</v>
      </c>
      <c r="W466">
        <f t="shared" si="31"/>
        <v>-1742.80376918892</v>
      </c>
      <c r="X466">
        <f t="shared" si="32"/>
        <v>-0.708185057924486</v>
      </c>
      <c r="Y466">
        <v>23</v>
      </c>
    </row>
    <row r="467" spans="1:25">
      <c r="A467" s="1">
        <v>519</v>
      </c>
      <c r="B467" t="s">
        <v>698</v>
      </c>
      <c r="C467" t="s">
        <v>756</v>
      </c>
      <c r="D467" t="s">
        <v>700</v>
      </c>
      <c r="E467" t="s">
        <v>51</v>
      </c>
      <c r="F467" t="s">
        <v>28</v>
      </c>
      <c r="G467">
        <v>23</v>
      </c>
      <c r="H467">
        <v>7</v>
      </c>
      <c r="I467">
        <v>53</v>
      </c>
      <c r="J467">
        <v>3</v>
      </c>
      <c r="K467">
        <v>0</v>
      </c>
      <c r="L467">
        <v>22</v>
      </c>
      <c r="M467">
        <v>14</v>
      </c>
      <c r="N467" t="s">
        <v>707</v>
      </c>
      <c r="O467" t="s">
        <v>767</v>
      </c>
      <c r="P467" t="s">
        <v>221</v>
      </c>
      <c r="Q467" t="s">
        <v>703</v>
      </c>
      <c r="R467" t="s">
        <v>704</v>
      </c>
      <c r="S467">
        <v>23</v>
      </c>
      <c r="T467">
        <v>40</v>
      </c>
      <c r="U467">
        <f t="shared" si="29"/>
        <v>-2.08515258573273</v>
      </c>
      <c r="V467">
        <f t="shared" si="30"/>
        <v>-250.800166674612</v>
      </c>
      <c r="W467">
        <f t="shared" si="31"/>
        <v>-2085.15258573273</v>
      </c>
      <c r="X467">
        <f t="shared" si="32"/>
        <v>-0.847297860387204</v>
      </c>
      <c r="Y467">
        <v>23</v>
      </c>
    </row>
    <row r="468" spans="1:25">
      <c r="A468" s="1">
        <v>520</v>
      </c>
      <c r="B468" t="s">
        <v>698</v>
      </c>
      <c r="C468" t="s">
        <v>756</v>
      </c>
      <c r="D468" t="s">
        <v>700</v>
      </c>
      <c r="E468" t="s">
        <v>51</v>
      </c>
      <c r="F468" t="s">
        <v>28</v>
      </c>
      <c r="G468">
        <v>23</v>
      </c>
      <c r="H468">
        <v>7</v>
      </c>
      <c r="I468">
        <v>53</v>
      </c>
      <c r="J468">
        <v>15</v>
      </c>
      <c r="K468">
        <v>0</v>
      </c>
      <c r="L468">
        <v>22</v>
      </c>
      <c r="M468">
        <v>14</v>
      </c>
      <c r="N468" t="s">
        <v>707</v>
      </c>
      <c r="O468" t="s">
        <v>712</v>
      </c>
      <c r="P468" t="s">
        <v>221</v>
      </c>
      <c r="Q468" t="s">
        <v>703</v>
      </c>
      <c r="R468" t="s">
        <v>704</v>
      </c>
      <c r="S468">
        <v>78</v>
      </c>
      <c r="T468">
        <v>46</v>
      </c>
      <c r="U468">
        <f t="shared" si="29"/>
        <v>-2.44771045856533</v>
      </c>
      <c r="V468">
        <f t="shared" si="30"/>
        <v>-294.408282242642</v>
      </c>
      <c r="W468">
        <f t="shared" si="31"/>
        <v>-2447.71045856533</v>
      </c>
      <c r="X468">
        <f t="shared" si="32"/>
        <v>-0.994622575144062</v>
      </c>
      <c r="Y468">
        <v>23</v>
      </c>
    </row>
    <row r="469" spans="1:25">
      <c r="A469" s="1">
        <v>521</v>
      </c>
      <c r="B469" t="s">
        <v>698</v>
      </c>
      <c r="C469" t="s">
        <v>756</v>
      </c>
      <c r="D469" t="s">
        <v>700</v>
      </c>
      <c r="E469" t="s">
        <v>51</v>
      </c>
      <c r="F469" t="s">
        <v>28</v>
      </c>
      <c r="G469">
        <v>23</v>
      </c>
      <c r="H469">
        <v>7</v>
      </c>
      <c r="I469">
        <v>53</v>
      </c>
      <c r="J469">
        <v>14</v>
      </c>
      <c r="K469">
        <v>0</v>
      </c>
      <c r="L469">
        <v>22</v>
      </c>
      <c r="M469">
        <v>14</v>
      </c>
      <c r="N469" t="s">
        <v>707</v>
      </c>
      <c r="O469" t="s">
        <v>768</v>
      </c>
      <c r="P469" t="s">
        <v>221</v>
      </c>
      <c r="Q469" t="s">
        <v>703</v>
      </c>
      <c r="R469" t="s">
        <v>704</v>
      </c>
      <c r="S469">
        <v>13</v>
      </c>
      <c r="T469">
        <v>28</v>
      </c>
      <c r="U469">
        <f t="shared" si="29"/>
        <v>-1.41593894021555</v>
      </c>
      <c r="V469">
        <f t="shared" si="30"/>
        <v>-170.307786891454</v>
      </c>
      <c r="W469">
        <f t="shared" si="31"/>
        <v>-1415.93894021555</v>
      </c>
      <c r="X469">
        <f t="shared" si="32"/>
        <v>-0.575364144903562</v>
      </c>
      <c r="Y469">
        <v>23</v>
      </c>
    </row>
    <row r="470" spans="1:25">
      <c r="A470" s="1">
        <v>522</v>
      </c>
      <c r="B470" t="s">
        <v>698</v>
      </c>
      <c r="C470" t="s">
        <v>756</v>
      </c>
      <c r="D470" t="s">
        <v>700</v>
      </c>
      <c r="E470" t="s">
        <v>51</v>
      </c>
      <c r="F470" t="s">
        <v>28</v>
      </c>
      <c r="G470">
        <v>23</v>
      </c>
      <c r="H470">
        <v>7</v>
      </c>
      <c r="I470">
        <v>53</v>
      </c>
      <c r="J470">
        <v>43</v>
      </c>
      <c r="K470">
        <v>0</v>
      </c>
      <c r="L470">
        <v>22</v>
      </c>
      <c r="M470">
        <v>14</v>
      </c>
      <c r="N470" t="s">
        <v>707</v>
      </c>
      <c r="O470" t="s">
        <v>769</v>
      </c>
      <c r="P470" t="s">
        <v>221</v>
      </c>
      <c r="Q470" t="s">
        <v>703</v>
      </c>
      <c r="R470" t="s">
        <v>704</v>
      </c>
      <c r="S470">
        <v>75</v>
      </c>
      <c r="T470">
        <v>42</v>
      </c>
      <c r="U470">
        <f t="shared" si="29"/>
        <v>-2.20348999829533</v>
      </c>
      <c r="V470">
        <f t="shared" si="30"/>
        <v>-265.033677928233</v>
      </c>
      <c r="W470">
        <f t="shared" si="31"/>
        <v>-2203.48999829533</v>
      </c>
      <c r="X470">
        <f t="shared" si="32"/>
        <v>-0.895384047054841</v>
      </c>
      <c r="Y470">
        <v>23</v>
      </c>
    </row>
    <row r="471" spans="1:25">
      <c r="A471" s="1">
        <v>523</v>
      </c>
      <c r="B471" t="s">
        <v>698</v>
      </c>
      <c r="C471" t="s">
        <v>756</v>
      </c>
      <c r="D471" t="s">
        <v>700</v>
      </c>
      <c r="E471" t="s">
        <v>51</v>
      </c>
      <c r="F471" t="s">
        <v>28</v>
      </c>
      <c r="G471">
        <v>23</v>
      </c>
      <c r="H471">
        <v>7</v>
      </c>
      <c r="I471">
        <v>53</v>
      </c>
      <c r="J471">
        <v>4</v>
      </c>
      <c r="K471">
        <v>0</v>
      </c>
      <c r="L471">
        <v>22</v>
      </c>
      <c r="M471">
        <v>14</v>
      </c>
      <c r="N471" t="s">
        <v>707</v>
      </c>
      <c r="O471" t="s">
        <v>770</v>
      </c>
      <c r="P471" t="s">
        <v>221</v>
      </c>
      <c r="Q471" t="s">
        <v>703</v>
      </c>
      <c r="R471" t="s">
        <v>704</v>
      </c>
      <c r="S471">
        <v>79</v>
      </c>
      <c r="T471">
        <v>34</v>
      </c>
      <c r="U471">
        <f t="shared" si="29"/>
        <v>-1.74280376918892</v>
      </c>
      <c r="V471">
        <f t="shared" si="30"/>
        <v>-209.622777145648</v>
      </c>
      <c r="W471">
        <f t="shared" si="31"/>
        <v>-1742.80376918892</v>
      </c>
      <c r="X471">
        <f t="shared" si="32"/>
        <v>-0.708185057924486</v>
      </c>
      <c r="Y471">
        <v>23</v>
      </c>
    </row>
    <row r="472" spans="1:25">
      <c r="A472" s="1">
        <v>524</v>
      </c>
      <c r="B472" t="s">
        <v>698</v>
      </c>
      <c r="C472" t="s">
        <v>756</v>
      </c>
      <c r="D472" t="s">
        <v>700</v>
      </c>
      <c r="E472" t="s">
        <v>51</v>
      </c>
      <c r="F472" t="s">
        <v>28</v>
      </c>
      <c r="G472">
        <v>23</v>
      </c>
      <c r="H472">
        <v>7</v>
      </c>
      <c r="I472">
        <v>53</v>
      </c>
      <c r="J472">
        <v>63</v>
      </c>
      <c r="K472">
        <v>0</v>
      </c>
      <c r="L472">
        <v>22</v>
      </c>
      <c r="M472">
        <v>14</v>
      </c>
      <c r="N472" t="s">
        <v>707</v>
      </c>
      <c r="O472" t="s">
        <v>771</v>
      </c>
      <c r="P472" t="s">
        <v>221</v>
      </c>
      <c r="Q472" t="s">
        <v>703</v>
      </c>
      <c r="R472" t="s">
        <v>704</v>
      </c>
      <c r="S472">
        <v>92</v>
      </c>
      <c r="T472">
        <v>38</v>
      </c>
      <c r="U472">
        <f t="shared" si="29"/>
        <v>-1.9690487908951</v>
      </c>
      <c r="V472">
        <f t="shared" si="30"/>
        <v>-236.835312833185</v>
      </c>
      <c r="W472">
        <f t="shared" si="31"/>
        <v>-1969.0487908951</v>
      </c>
      <c r="X472">
        <f t="shared" si="32"/>
        <v>-0.800119300112113</v>
      </c>
      <c r="Y472">
        <v>23</v>
      </c>
    </row>
    <row r="473" spans="1:25">
      <c r="A473" s="1">
        <v>525</v>
      </c>
      <c r="B473" t="s">
        <v>698</v>
      </c>
      <c r="C473" t="s">
        <v>756</v>
      </c>
      <c r="D473" t="s">
        <v>700</v>
      </c>
      <c r="E473" t="s">
        <v>51</v>
      </c>
      <c r="F473" t="s">
        <v>28</v>
      </c>
      <c r="G473">
        <v>23</v>
      </c>
      <c r="H473">
        <v>7</v>
      </c>
      <c r="I473">
        <v>53</v>
      </c>
      <c r="J473">
        <v>61</v>
      </c>
      <c r="K473">
        <v>0</v>
      </c>
      <c r="L473">
        <v>22</v>
      </c>
      <c r="M473">
        <v>14</v>
      </c>
      <c r="N473" t="s">
        <v>707</v>
      </c>
      <c r="O473" t="s">
        <v>772</v>
      </c>
      <c r="P473" t="s">
        <v>221</v>
      </c>
      <c r="Q473" t="s">
        <v>703</v>
      </c>
      <c r="R473" t="s">
        <v>704</v>
      </c>
      <c r="S473">
        <v>70</v>
      </c>
      <c r="T473">
        <v>32</v>
      </c>
      <c r="U473">
        <f t="shared" si="29"/>
        <v>-1.63232992457049</v>
      </c>
      <c r="V473">
        <f t="shared" si="30"/>
        <v>-196.335088353438</v>
      </c>
      <c r="W473">
        <f t="shared" si="31"/>
        <v>-1632.32992457049</v>
      </c>
      <c r="X473">
        <f t="shared" si="32"/>
        <v>-0.663294217410264</v>
      </c>
      <c r="Y473">
        <v>23</v>
      </c>
    </row>
    <row r="474" spans="1:25">
      <c r="A474" s="1">
        <v>526</v>
      </c>
      <c r="B474" t="s">
        <v>698</v>
      </c>
      <c r="C474" t="s">
        <v>756</v>
      </c>
      <c r="D474" t="s">
        <v>700</v>
      </c>
      <c r="E474" t="s">
        <v>51</v>
      </c>
      <c r="F474" t="s">
        <v>28</v>
      </c>
      <c r="G474">
        <v>23</v>
      </c>
      <c r="H474">
        <v>7</v>
      </c>
      <c r="I474">
        <v>53</v>
      </c>
      <c r="J474">
        <v>62</v>
      </c>
      <c r="K474">
        <v>0</v>
      </c>
      <c r="L474">
        <v>22</v>
      </c>
      <c r="M474">
        <v>14</v>
      </c>
      <c r="N474" t="s">
        <v>707</v>
      </c>
      <c r="O474" t="s">
        <v>773</v>
      </c>
      <c r="P474" t="s">
        <v>221</v>
      </c>
      <c r="Q474" t="s">
        <v>703</v>
      </c>
      <c r="R474" t="s">
        <v>704</v>
      </c>
      <c r="S474">
        <v>9</v>
      </c>
      <c r="T474">
        <v>24</v>
      </c>
      <c r="U474">
        <f t="shared" si="29"/>
        <v>-1.20475076780872</v>
      </c>
      <c r="V474">
        <f t="shared" si="30"/>
        <v>-144.906274694337</v>
      </c>
      <c r="W474">
        <f t="shared" si="31"/>
        <v>-1204.75076780872</v>
      </c>
      <c r="X474">
        <f t="shared" si="32"/>
        <v>-0.489548225318706</v>
      </c>
      <c r="Y474">
        <v>23</v>
      </c>
    </row>
    <row r="475" spans="1:25">
      <c r="A475" s="1">
        <v>529</v>
      </c>
      <c r="B475" t="s">
        <v>705</v>
      </c>
      <c r="C475" t="s">
        <v>756</v>
      </c>
      <c r="D475" t="s">
        <v>700</v>
      </c>
      <c r="E475" t="s">
        <v>51</v>
      </c>
      <c r="F475" t="s">
        <v>28</v>
      </c>
      <c r="G475">
        <v>23</v>
      </c>
      <c r="H475">
        <v>7</v>
      </c>
      <c r="I475">
        <v>14</v>
      </c>
      <c r="J475">
        <v>3</v>
      </c>
      <c r="K475">
        <v>0</v>
      </c>
      <c r="L475">
        <v>22</v>
      </c>
      <c r="M475">
        <v>14</v>
      </c>
      <c r="N475" t="s">
        <v>214</v>
      </c>
      <c r="O475" t="s">
        <v>767</v>
      </c>
      <c r="P475" t="s">
        <v>221</v>
      </c>
      <c r="Q475" t="s">
        <v>703</v>
      </c>
      <c r="R475" t="s">
        <v>704</v>
      </c>
      <c r="S475">
        <v>26</v>
      </c>
      <c r="T475">
        <v>50</v>
      </c>
      <c r="U475">
        <f t="shared" si="29"/>
        <v>-2.70362332012405</v>
      </c>
      <c r="V475">
        <f t="shared" si="30"/>
        <v>-325.189237445761</v>
      </c>
      <c r="W475">
        <f t="shared" si="31"/>
        <v>-2703.62332012405</v>
      </c>
      <c r="X475">
        <f t="shared" si="32"/>
        <v>-1.09861228866811</v>
      </c>
      <c r="Y475">
        <v>23</v>
      </c>
    </row>
    <row r="476" spans="1:25">
      <c r="A476" s="1">
        <v>530</v>
      </c>
      <c r="B476" t="s">
        <v>705</v>
      </c>
      <c r="C476" t="s">
        <v>756</v>
      </c>
      <c r="D476" t="s">
        <v>700</v>
      </c>
      <c r="E476" t="s">
        <v>51</v>
      </c>
      <c r="F476" t="s">
        <v>28</v>
      </c>
      <c r="G476">
        <v>23</v>
      </c>
      <c r="H476">
        <v>7</v>
      </c>
      <c r="I476">
        <v>14</v>
      </c>
      <c r="J476">
        <v>15</v>
      </c>
      <c r="K476">
        <v>0</v>
      </c>
      <c r="L476">
        <v>22</v>
      </c>
      <c r="M476">
        <v>14</v>
      </c>
      <c r="N476" t="s">
        <v>214</v>
      </c>
      <c r="O476" t="s">
        <v>712</v>
      </c>
      <c r="P476" t="s">
        <v>221</v>
      </c>
      <c r="Q476" t="s">
        <v>703</v>
      </c>
      <c r="R476" t="s">
        <v>704</v>
      </c>
      <c r="S476">
        <v>19</v>
      </c>
      <c r="T476">
        <v>64</v>
      </c>
      <c r="U476">
        <f t="shared" si="29"/>
        <v>-3.73164625587546</v>
      </c>
      <c r="V476">
        <f t="shared" si="30"/>
        <v>-448.838856852954</v>
      </c>
      <c r="W476">
        <f t="shared" si="31"/>
        <v>-3731.64625587546</v>
      </c>
      <c r="X476">
        <f t="shared" si="32"/>
        <v>-1.51634748936809</v>
      </c>
      <c r="Y476">
        <v>23</v>
      </c>
    </row>
    <row r="477" spans="1:25">
      <c r="A477" s="1">
        <v>532</v>
      </c>
      <c r="B477" t="s">
        <v>705</v>
      </c>
      <c r="C477" t="s">
        <v>756</v>
      </c>
      <c r="D477" t="s">
        <v>700</v>
      </c>
      <c r="E477" t="s">
        <v>51</v>
      </c>
      <c r="F477" t="s">
        <v>28</v>
      </c>
      <c r="G477">
        <v>23</v>
      </c>
      <c r="H477">
        <v>7</v>
      </c>
      <c r="I477">
        <v>14</v>
      </c>
      <c r="J477">
        <v>43</v>
      </c>
      <c r="K477">
        <v>0</v>
      </c>
      <c r="L477">
        <v>22</v>
      </c>
      <c r="M477">
        <v>14</v>
      </c>
      <c r="N477" t="s">
        <v>214</v>
      </c>
      <c r="O477" t="s">
        <v>769</v>
      </c>
      <c r="P477" t="s">
        <v>221</v>
      </c>
      <c r="Q477" t="s">
        <v>703</v>
      </c>
      <c r="R477" t="s">
        <v>704</v>
      </c>
      <c r="S477">
        <v>14</v>
      </c>
      <c r="T477">
        <v>60</v>
      </c>
      <c r="U477">
        <f t="shared" si="29"/>
        <v>-3.41159279023183</v>
      </c>
      <c r="V477">
        <f t="shared" si="30"/>
        <v>-410.343130891488</v>
      </c>
      <c r="W477">
        <f t="shared" si="31"/>
        <v>-3411.59279023183</v>
      </c>
      <c r="X477">
        <f t="shared" si="32"/>
        <v>-1.38629436111989</v>
      </c>
      <c r="Y477">
        <v>23</v>
      </c>
    </row>
    <row r="478" spans="1:25">
      <c r="A478" s="1">
        <v>533</v>
      </c>
      <c r="B478" t="s">
        <v>705</v>
      </c>
      <c r="C478" t="s">
        <v>756</v>
      </c>
      <c r="D478" t="s">
        <v>700</v>
      </c>
      <c r="E478" t="s">
        <v>51</v>
      </c>
      <c r="F478" t="s">
        <v>28</v>
      </c>
      <c r="G478">
        <v>23</v>
      </c>
      <c r="H478">
        <v>7</v>
      </c>
      <c r="I478">
        <v>14</v>
      </c>
      <c r="J478">
        <v>4</v>
      </c>
      <c r="K478">
        <v>0</v>
      </c>
      <c r="L478">
        <v>22</v>
      </c>
      <c r="M478">
        <v>14</v>
      </c>
      <c r="N478" t="s">
        <v>214</v>
      </c>
      <c r="O478" t="s">
        <v>770</v>
      </c>
      <c r="P478" t="s">
        <v>221</v>
      </c>
      <c r="Q478" t="s">
        <v>703</v>
      </c>
      <c r="R478" t="s">
        <v>704</v>
      </c>
      <c r="S478">
        <v>11</v>
      </c>
      <c r="T478">
        <v>60</v>
      </c>
      <c r="U478">
        <f t="shared" si="29"/>
        <v>-3.41159279023183</v>
      </c>
      <c r="V478">
        <f t="shared" si="30"/>
        <v>-410.343130891488</v>
      </c>
      <c r="W478">
        <f t="shared" si="31"/>
        <v>-3411.59279023183</v>
      </c>
      <c r="X478">
        <f t="shared" si="32"/>
        <v>-1.38629436111989</v>
      </c>
      <c r="Y478">
        <v>23</v>
      </c>
    </row>
    <row r="479" spans="1:25">
      <c r="A479" s="1">
        <v>534</v>
      </c>
      <c r="B479" t="s">
        <v>705</v>
      </c>
      <c r="C479" t="s">
        <v>756</v>
      </c>
      <c r="D479" t="s">
        <v>700</v>
      </c>
      <c r="E479" t="s">
        <v>51</v>
      </c>
      <c r="F479" t="s">
        <v>28</v>
      </c>
      <c r="G479">
        <v>23</v>
      </c>
      <c r="H479">
        <v>7</v>
      </c>
      <c r="I479">
        <v>14</v>
      </c>
      <c r="J479">
        <v>63</v>
      </c>
      <c r="K479">
        <v>0</v>
      </c>
      <c r="L479">
        <v>22</v>
      </c>
      <c r="M479">
        <v>14</v>
      </c>
      <c r="N479" t="s">
        <v>214</v>
      </c>
      <c r="O479" t="s">
        <v>771</v>
      </c>
      <c r="P479" t="s">
        <v>221</v>
      </c>
      <c r="Q479" t="s">
        <v>703</v>
      </c>
      <c r="R479" t="s">
        <v>704</v>
      </c>
      <c r="S479">
        <v>12</v>
      </c>
      <c r="T479">
        <v>70</v>
      </c>
      <c r="U479">
        <f t="shared" si="29"/>
        <v>-4.26875605965103</v>
      </c>
      <c r="V479">
        <f t="shared" si="30"/>
        <v>-513.44191239488</v>
      </c>
      <c r="W479">
        <f t="shared" si="31"/>
        <v>-4268.75605965103</v>
      </c>
      <c r="X479">
        <f t="shared" si="32"/>
        <v>-1.73460105538811</v>
      </c>
      <c r="Y479">
        <v>23</v>
      </c>
    </row>
    <row r="480" spans="1:25">
      <c r="A480" s="1">
        <v>535</v>
      </c>
      <c r="B480" t="s">
        <v>705</v>
      </c>
      <c r="C480" t="s">
        <v>756</v>
      </c>
      <c r="D480" t="s">
        <v>700</v>
      </c>
      <c r="E480" t="s">
        <v>51</v>
      </c>
      <c r="F480" t="s">
        <v>28</v>
      </c>
      <c r="G480">
        <v>23</v>
      </c>
      <c r="H480">
        <v>7</v>
      </c>
      <c r="I480">
        <v>14</v>
      </c>
      <c r="J480">
        <v>61</v>
      </c>
      <c r="K480">
        <v>0</v>
      </c>
      <c r="L480">
        <v>22</v>
      </c>
      <c r="M480">
        <v>14</v>
      </c>
      <c r="N480" t="s">
        <v>214</v>
      </c>
      <c r="O480" t="s">
        <v>772</v>
      </c>
      <c r="P480" t="s">
        <v>221</v>
      </c>
      <c r="Q480" t="s">
        <v>703</v>
      </c>
      <c r="R480" t="s">
        <v>704</v>
      </c>
      <c r="S480">
        <v>16</v>
      </c>
      <c r="T480">
        <v>60</v>
      </c>
      <c r="U480">
        <f t="shared" si="29"/>
        <v>-3.41159279023183</v>
      </c>
      <c r="V480">
        <f t="shared" si="30"/>
        <v>-410.343130891488</v>
      </c>
      <c r="W480">
        <f t="shared" si="31"/>
        <v>-3411.59279023183</v>
      </c>
      <c r="X480">
        <f t="shared" si="32"/>
        <v>-1.38629436111989</v>
      </c>
      <c r="Y480">
        <v>23</v>
      </c>
    </row>
    <row r="481" spans="1:25">
      <c r="A481" s="1">
        <v>536</v>
      </c>
      <c r="B481" t="s">
        <v>705</v>
      </c>
      <c r="C481" t="s">
        <v>756</v>
      </c>
      <c r="D481" t="s">
        <v>700</v>
      </c>
      <c r="E481" t="s">
        <v>51</v>
      </c>
      <c r="F481" t="s">
        <v>28</v>
      </c>
      <c r="G481">
        <v>23</v>
      </c>
      <c r="H481">
        <v>7</v>
      </c>
      <c r="I481">
        <v>14</v>
      </c>
      <c r="J481">
        <v>62</v>
      </c>
      <c r="K481">
        <v>0</v>
      </c>
      <c r="L481">
        <v>22</v>
      </c>
      <c r="M481">
        <v>14</v>
      </c>
      <c r="N481" t="s">
        <v>214</v>
      </c>
      <c r="O481" t="s">
        <v>773</v>
      </c>
      <c r="P481" t="s">
        <v>221</v>
      </c>
      <c r="Q481" t="s">
        <v>703</v>
      </c>
      <c r="R481" t="s">
        <v>704</v>
      </c>
      <c r="S481">
        <v>38</v>
      </c>
      <c r="T481">
        <v>66</v>
      </c>
      <c r="U481">
        <f t="shared" si="29"/>
        <v>-3.90213990093831</v>
      </c>
      <c r="V481">
        <f t="shared" si="30"/>
        <v>-469.345670067153</v>
      </c>
      <c r="W481">
        <f t="shared" si="31"/>
        <v>-3902.13990093831</v>
      </c>
      <c r="X481">
        <f t="shared" si="32"/>
        <v>-1.58562726374038</v>
      </c>
      <c r="Y481">
        <v>23</v>
      </c>
    </row>
    <row r="482" spans="1:25">
      <c r="A482" s="1">
        <v>540</v>
      </c>
      <c r="B482" t="s">
        <v>705</v>
      </c>
      <c r="C482" t="s">
        <v>756</v>
      </c>
      <c r="D482" t="s">
        <v>700</v>
      </c>
      <c r="E482" t="s">
        <v>51</v>
      </c>
      <c r="F482" t="s">
        <v>28</v>
      </c>
      <c r="G482">
        <v>23</v>
      </c>
      <c r="H482">
        <v>7</v>
      </c>
      <c r="I482">
        <v>14</v>
      </c>
      <c r="J482">
        <v>29</v>
      </c>
      <c r="K482">
        <v>0</v>
      </c>
      <c r="L482">
        <v>22</v>
      </c>
      <c r="M482">
        <v>14</v>
      </c>
      <c r="N482" t="s">
        <v>214</v>
      </c>
      <c r="O482" t="s">
        <v>774</v>
      </c>
      <c r="P482" t="s">
        <v>221</v>
      </c>
      <c r="Q482" t="s">
        <v>703</v>
      </c>
      <c r="R482" t="s">
        <v>704</v>
      </c>
      <c r="S482">
        <v>64</v>
      </c>
      <c r="T482">
        <v>58</v>
      </c>
      <c r="U482">
        <f t="shared" si="29"/>
        <v>-3.26056724986077</v>
      </c>
      <c r="V482">
        <f t="shared" si="30"/>
        <v>-392.177922764105</v>
      </c>
      <c r="W482">
        <f t="shared" si="31"/>
        <v>-3260.56724986077</v>
      </c>
      <c r="X482">
        <f t="shared" si="32"/>
        <v>-1.3249254147436</v>
      </c>
      <c r="Y482">
        <v>23</v>
      </c>
    </row>
    <row r="483" spans="1:25">
      <c r="A483" s="1">
        <v>541</v>
      </c>
      <c r="B483" t="s">
        <v>698</v>
      </c>
      <c r="C483" t="s">
        <v>756</v>
      </c>
      <c r="D483" t="s">
        <v>700</v>
      </c>
      <c r="E483" t="s">
        <v>51</v>
      </c>
      <c r="F483" t="s">
        <v>28</v>
      </c>
      <c r="G483">
        <v>23</v>
      </c>
      <c r="H483">
        <v>7</v>
      </c>
      <c r="I483">
        <v>54</v>
      </c>
      <c r="J483">
        <v>10</v>
      </c>
      <c r="K483">
        <v>0</v>
      </c>
      <c r="L483">
        <v>22</v>
      </c>
      <c r="M483">
        <v>14</v>
      </c>
      <c r="N483" t="s">
        <v>775</v>
      </c>
      <c r="O483" t="s">
        <v>702</v>
      </c>
      <c r="P483" t="s">
        <v>221</v>
      </c>
      <c r="Q483" t="s">
        <v>703</v>
      </c>
      <c r="R483" t="s">
        <v>704</v>
      </c>
      <c r="S483">
        <v>60</v>
      </c>
      <c r="T483">
        <v>38</v>
      </c>
      <c r="U483">
        <f t="shared" si="29"/>
        <v>-1.9690487908951</v>
      </c>
      <c r="V483">
        <f t="shared" si="30"/>
        <v>-236.835312833185</v>
      </c>
      <c r="W483">
        <f t="shared" si="31"/>
        <v>-1969.0487908951</v>
      </c>
      <c r="X483">
        <f t="shared" si="32"/>
        <v>-0.800119300112113</v>
      </c>
      <c r="Y483">
        <v>23</v>
      </c>
    </row>
    <row r="484" spans="1:25">
      <c r="A484" s="1">
        <v>542</v>
      </c>
      <c r="B484" t="s">
        <v>698</v>
      </c>
      <c r="C484" t="s">
        <v>756</v>
      </c>
      <c r="D484" t="s">
        <v>700</v>
      </c>
      <c r="E484" t="s">
        <v>51</v>
      </c>
      <c r="F484" t="s">
        <v>28</v>
      </c>
      <c r="G484">
        <v>23</v>
      </c>
      <c r="H484">
        <v>7</v>
      </c>
      <c r="I484">
        <v>56</v>
      </c>
      <c r="J484">
        <v>10</v>
      </c>
      <c r="K484">
        <v>0</v>
      </c>
      <c r="L484">
        <v>22</v>
      </c>
      <c r="M484">
        <v>14</v>
      </c>
      <c r="N484" t="s">
        <v>776</v>
      </c>
      <c r="O484" t="s">
        <v>702</v>
      </c>
      <c r="P484" t="s">
        <v>221</v>
      </c>
      <c r="Q484" t="s">
        <v>703</v>
      </c>
      <c r="R484" t="s">
        <v>704</v>
      </c>
      <c r="S484">
        <v>76</v>
      </c>
      <c r="T484">
        <v>42</v>
      </c>
      <c r="U484">
        <f t="shared" si="29"/>
        <v>-2.20348999829533</v>
      </c>
      <c r="V484">
        <f t="shared" si="30"/>
        <v>-265.033677928233</v>
      </c>
      <c r="W484">
        <f t="shared" si="31"/>
        <v>-2203.48999829533</v>
      </c>
      <c r="X484">
        <f t="shared" si="32"/>
        <v>-0.895384047054841</v>
      </c>
      <c r="Y484">
        <v>23</v>
      </c>
    </row>
    <row r="485" spans="1:25">
      <c r="A485" s="1">
        <v>543</v>
      </c>
      <c r="B485" t="s">
        <v>698</v>
      </c>
      <c r="C485" t="s">
        <v>756</v>
      </c>
      <c r="D485" t="s">
        <v>700</v>
      </c>
      <c r="E485" t="s">
        <v>51</v>
      </c>
      <c r="F485" t="s">
        <v>28</v>
      </c>
      <c r="G485">
        <v>23</v>
      </c>
      <c r="H485">
        <v>7</v>
      </c>
      <c r="I485">
        <v>57</v>
      </c>
      <c r="J485">
        <v>10</v>
      </c>
      <c r="K485">
        <v>0</v>
      </c>
      <c r="L485">
        <v>22</v>
      </c>
      <c r="M485">
        <v>14</v>
      </c>
      <c r="N485" t="s">
        <v>777</v>
      </c>
      <c r="O485" t="s">
        <v>702</v>
      </c>
      <c r="P485" t="s">
        <v>221</v>
      </c>
      <c r="Q485" t="s">
        <v>703</v>
      </c>
      <c r="R485" t="s">
        <v>704</v>
      </c>
      <c r="S485">
        <v>60</v>
      </c>
      <c r="T485">
        <v>34</v>
      </c>
      <c r="U485">
        <f t="shared" si="29"/>
        <v>-1.74280376918892</v>
      </c>
      <c r="V485">
        <f t="shared" si="30"/>
        <v>-209.622777145648</v>
      </c>
      <c r="W485">
        <f t="shared" si="31"/>
        <v>-1742.80376918892</v>
      </c>
      <c r="X485">
        <f t="shared" si="32"/>
        <v>-0.708185057924486</v>
      </c>
      <c r="Y485">
        <v>23</v>
      </c>
    </row>
    <row r="486" spans="1:25">
      <c r="A486" s="1">
        <v>544</v>
      </c>
      <c r="B486" t="s">
        <v>698</v>
      </c>
      <c r="C486" t="s">
        <v>756</v>
      </c>
      <c r="D486" t="s">
        <v>700</v>
      </c>
      <c r="E486" t="s">
        <v>51</v>
      </c>
      <c r="F486" t="s">
        <v>28</v>
      </c>
      <c r="G486">
        <v>23</v>
      </c>
      <c r="H486">
        <v>7</v>
      </c>
      <c r="I486">
        <v>55</v>
      </c>
      <c r="J486">
        <v>10</v>
      </c>
      <c r="K486">
        <v>0</v>
      </c>
      <c r="L486">
        <v>22</v>
      </c>
      <c r="M486">
        <v>14</v>
      </c>
      <c r="N486" t="s">
        <v>778</v>
      </c>
      <c r="O486" t="s">
        <v>702</v>
      </c>
      <c r="P486" t="s">
        <v>221</v>
      </c>
      <c r="Q486" t="s">
        <v>703</v>
      </c>
      <c r="R486" t="s">
        <v>704</v>
      </c>
      <c r="S486">
        <v>24</v>
      </c>
      <c r="T486">
        <v>34</v>
      </c>
      <c r="U486">
        <f t="shared" si="29"/>
        <v>-1.74280376918892</v>
      </c>
      <c r="V486">
        <f t="shared" si="30"/>
        <v>-209.622777145648</v>
      </c>
      <c r="W486">
        <f t="shared" si="31"/>
        <v>-1742.80376918892</v>
      </c>
      <c r="X486">
        <f t="shared" si="32"/>
        <v>-0.708185057924486</v>
      </c>
      <c r="Y486">
        <v>23</v>
      </c>
    </row>
    <row r="487" spans="1:25">
      <c r="A487" s="1">
        <v>545</v>
      </c>
      <c r="B487" t="s">
        <v>705</v>
      </c>
      <c r="C487" t="s">
        <v>756</v>
      </c>
      <c r="D487" t="s">
        <v>700</v>
      </c>
      <c r="E487" t="s">
        <v>51</v>
      </c>
      <c r="F487" t="s">
        <v>28</v>
      </c>
      <c r="G487">
        <v>23</v>
      </c>
      <c r="H487">
        <v>7</v>
      </c>
      <c r="I487">
        <v>16</v>
      </c>
      <c r="J487">
        <v>10</v>
      </c>
      <c r="K487">
        <v>0</v>
      </c>
      <c r="L487">
        <v>22</v>
      </c>
      <c r="M487">
        <v>14</v>
      </c>
      <c r="N487" t="s">
        <v>779</v>
      </c>
      <c r="O487" t="s">
        <v>702</v>
      </c>
      <c r="P487" t="s">
        <v>221</v>
      </c>
      <c r="Q487" t="s">
        <v>703</v>
      </c>
      <c r="R487" t="s">
        <v>704</v>
      </c>
      <c r="S487">
        <v>48</v>
      </c>
      <c r="T487">
        <v>60</v>
      </c>
      <c r="U487">
        <f t="shared" si="29"/>
        <v>-3.41159279023183</v>
      </c>
      <c r="V487">
        <f t="shared" si="30"/>
        <v>-410.343130891488</v>
      </c>
      <c r="W487">
        <f t="shared" si="31"/>
        <v>-3411.59279023183</v>
      </c>
      <c r="X487">
        <f t="shared" si="32"/>
        <v>-1.38629436111989</v>
      </c>
      <c r="Y487">
        <v>23</v>
      </c>
    </row>
    <row r="488" spans="1:25">
      <c r="A488" s="1">
        <v>546</v>
      </c>
      <c r="B488" t="s">
        <v>705</v>
      </c>
      <c r="C488" t="s">
        <v>756</v>
      </c>
      <c r="D488" t="s">
        <v>700</v>
      </c>
      <c r="E488" t="s">
        <v>51</v>
      </c>
      <c r="F488" t="s">
        <v>28</v>
      </c>
      <c r="G488">
        <v>23</v>
      </c>
      <c r="H488">
        <v>7</v>
      </c>
      <c r="I488">
        <v>18</v>
      </c>
      <c r="J488">
        <v>10</v>
      </c>
      <c r="K488">
        <v>0</v>
      </c>
      <c r="L488">
        <v>22</v>
      </c>
      <c r="M488">
        <v>14</v>
      </c>
      <c r="N488" t="s">
        <v>780</v>
      </c>
      <c r="O488" t="s">
        <v>702</v>
      </c>
      <c r="P488" t="s">
        <v>221</v>
      </c>
      <c r="Q488" t="s">
        <v>703</v>
      </c>
      <c r="R488" t="s">
        <v>704</v>
      </c>
      <c r="S488">
        <v>58</v>
      </c>
      <c r="T488">
        <v>64</v>
      </c>
      <c r="U488">
        <f t="shared" si="29"/>
        <v>-3.73164625587546</v>
      </c>
      <c r="V488">
        <f t="shared" si="30"/>
        <v>-448.838856852954</v>
      </c>
      <c r="W488">
        <f t="shared" si="31"/>
        <v>-3731.64625587546</v>
      </c>
      <c r="X488">
        <f t="shared" si="32"/>
        <v>-1.51634748936809</v>
      </c>
      <c r="Y488">
        <v>23</v>
      </c>
    </row>
    <row r="489" spans="1:25">
      <c r="A489" s="1">
        <v>547</v>
      </c>
      <c r="B489" t="s">
        <v>705</v>
      </c>
      <c r="C489" t="s">
        <v>756</v>
      </c>
      <c r="D489" t="s">
        <v>700</v>
      </c>
      <c r="E489" t="s">
        <v>51</v>
      </c>
      <c r="F489" t="s">
        <v>28</v>
      </c>
      <c r="G489">
        <v>23</v>
      </c>
      <c r="H489">
        <v>7</v>
      </c>
      <c r="I489">
        <v>22</v>
      </c>
      <c r="J489">
        <v>10</v>
      </c>
      <c r="K489">
        <v>0</v>
      </c>
      <c r="L489">
        <v>22</v>
      </c>
      <c r="M489">
        <v>14</v>
      </c>
      <c r="N489" t="s">
        <v>781</v>
      </c>
      <c r="O489" t="s">
        <v>702</v>
      </c>
      <c r="P489" t="s">
        <v>221</v>
      </c>
      <c r="Q489" t="s">
        <v>703</v>
      </c>
      <c r="R489" t="s">
        <v>704</v>
      </c>
      <c r="S489">
        <v>27</v>
      </c>
      <c r="T489">
        <v>72</v>
      </c>
      <c r="U489">
        <f t="shared" si="29"/>
        <v>-4.4673269516586</v>
      </c>
      <c r="V489">
        <f t="shared" si="30"/>
        <v>-537.325830124922</v>
      </c>
      <c r="W489">
        <f t="shared" si="31"/>
        <v>-4467.3269516586</v>
      </c>
      <c r="X489">
        <f t="shared" si="32"/>
        <v>-1.81528996663825</v>
      </c>
      <c r="Y489">
        <v>23</v>
      </c>
    </row>
    <row r="490" spans="1:25">
      <c r="A490" s="1">
        <v>548</v>
      </c>
      <c r="B490" t="s">
        <v>705</v>
      </c>
      <c r="C490" t="s">
        <v>756</v>
      </c>
      <c r="D490" t="s">
        <v>700</v>
      </c>
      <c r="E490" t="s">
        <v>51</v>
      </c>
      <c r="F490" t="s">
        <v>28</v>
      </c>
      <c r="G490">
        <v>23</v>
      </c>
      <c r="H490">
        <v>7</v>
      </c>
      <c r="I490">
        <v>23</v>
      </c>
      <c r="J490">
        <v>10</v>
      </c>
      <c r="K490">
        <v>0</v>
      </c>
      <c r="L490">
        <v>22</v>
      </c>
      <c r="M490">
        <v>14</v>
      </c>
      <c r="N490" t="s">
        <v>782</v>
      </c>
      <c r="O490" t="s">
        <v>702</v>
      </c>
      <c r="P490" t="s">
        <v>221</v>
      </c>
      <c r="Q490" t="s">
        <v>703</v>
      </c>
      <c r="R490" t="s">
        <v>704</v>
      </c>
      <c r="S490">
        <v>27</v>
      </c>
      <c r="T490">
        <v>72</v>
      </c>
      <c r="U490">
        <f t="shared" si="29"/>
        <v>-4.4673269516586</v>
      </c>
      <c r="V490">
        <f t="shared" si="30"/>
        <v>-537.325830124922</v>
      </c>
      <c r="W490">
        <f t="shared" si="31"/>
        <v>-4467.3269516586</v>
      </c>
      <c r="X490">
        <f t="shared" si="32"/>
        <v>-1.81528996663825</v>
      </c>
      <c r="Y490">
        <v>23</v>
      </c>
    </row>
    <row r="491" spans="1:25">
      <c r="A491" s="1">
        <v>549</v>
      </c>
      <c r="B491" t="s">
        <v>705</v>
      </c>
      <c r="C491" t="s">
        <v>756</v>
      </c>
      <c r="D491" t="s">
        <v>700</v>
      </c>
      <c r="E491" t="s">
        <v>51</v>
      </c>
      <c r="F491" t="s">
        <v>28</v>
      </c>
      <c r="G491">
        <v>23</v>
      </c>
      <c r="H491">
        <v>7</v>
      </c>
      <c r="I491">
        <v>20</v>
      </c>
      <c r="J491">
        <v>10</v>
      </c>
      <c r="K491">
        <v>0</v>
      </c>
      <c r="L491">
        <v>22</v>
      </c>
      <c r="M491">
        <v>14</v>
      </c>
      <c r="N491" t="s">
        <v>783</v>
      </c>
      <c r="O491" t="s">
        <v>702</v>
      </c>
      <c r="P491" t="s">
        <v>221</v>
      </c>
      <c r="Q491" t="s">
        <v>703</v>
      </c>
      <c r="R491" t="s">
        <v>704</v>
      </c>
      <c r="S491">
        <v>38</v>
      </c>
      <c r="T491">
        <v>70</v>
      </c>
      <c r="U491">
        <f t="shared" si="29"/>
        <v>-4.26875605965103</v>
      </c>
      <c r="V491">
        <f t="shared" si="30"/>
        <v>-513.44191239488</v>
      </c>
      <c r="W491">
        <f t="shared" si="31"/>
        <v>-4268.75605965103</v>
      </c>
      <c r="X491">
        <f t="shared" si="32"/>
        <v>-1.73460105538811</v>
      </c>
      <c r="Y491">
        <v>23</v>
      </c>
    </row>
    <row r="492" spans="1:25">
      <c r="A492" s="1">
        <v>550</v>
      </c>
      <c r="B492" t="s">
        <v>705</v>
      </c>
      <c r="C492" t="s">
        <v>756</v>
      </c>
      <c r="D492" t="s">
        <v>700</v>
      </c>
      <c r="E492" t="s">
        <v>51</v>
      </c>
      <c r="F492" t="s">
        <v>28</v>
      </c>
      <c r="G492">
        <v>23</v>
      </c>
      <c r="H492">
        <v>7</v>
      </c>
      <c r="I492">
        <v>17</v>
      </c>
      <c r="J492">
        <v>10</v>
      </c>
      <c r="K492">
        <v>0</v>
      </c>
      <c r="L492">
        <v>22</v>
      </c>
      <c r="M492">
        <v>14</v>
      </c>
      <c r="N492" t="s">
        <v>784</v>
      </c>
      <c r="O492" t="s">
        <v>702</v>
      </c>
      <c r="P492" t="s">
        <v>221</v>
      </c>
      <c r="Q492" t="s">
        <v>703</v>
      </c>
      <c r="R492" t="s">
        <v>704</v>
      </c>
      <c r="S492">
        <v>15</v>
      </c>
      <c r="T492">
        <v>80</v>
      </c>
      <c r="U492">
        <f t="shared" si="29"/>
        <v>-5.40724664024811</v>
      </c>
      <c r="V492">
        <f t="shared" si="30"/>
        <v>-650.378474891521</v>
      </c>
      <c r="W492">
        <f t="shared" si="31"/>
        <v>-5407.24664024811</v>
      </c>
      <c r="X492">
        <f t="shared" si="32"/>
        <v>-2.19722457733622</v>
      </c>
      <c r="Y492">
        <v>23</v>
      </c>
    </row>
    <row r="493" spans="1:25">
      <c r="A493" s="1">
        <v>552</v>
      </c>
      <c r="B493" t="s">
        <v>785</v>
      </c>
      <c r="C493" t="s">
        <v>756</v>
      </c>
      <c r="D493" t="s">
        <v>700</v>
      </c>
      <c r="E493" t="s">
        <v>51</v>
      </c>
      <c r="F493" t="s">
        <v>28</v>
      </c>
      <c r="G493">
        <v>23</v>
      </c>
      <c r="H493">
        <v>7</v>
      </c>
      <c r="I493">
        <v>53</v>
      </c>
      <c r="J493">
        <v>10</v>
      </c>
      <c r="K493">
        <v>0</v>
      </c>
      <c r="L493">
        <v>22</v>
      </c>
      <c r="M493">
        <v>14</v>
      </c>
      <c r="N493" t="s">
        <v>707</v>
      </c>
      <c r="O493" t="s">
        <v>702</v>
      </c>
      <c r="P493" t="s">
        <v>221</v>
      </c>
      <c r="Q493" t="s">
        <v>703</v>
      </c>
      <c r="R493" t="s">
        <v>704</v>
      </c>
      <c r="S493">
        <v>70</v>
      </c>
      <c r="T493">
        <v>2</v>
      </c>
      <c r="U493">
        <f t="shared" si="29"/>
        <v>-0.0984508881855754</v>
      </c>
      <c r="V493">
        <f t="shared" si="30"/>
        <v>-11.841579045655</v>
      </c>
      <c r="W493">
        <f t="shared" si="31"/>
        <v>-98.4508881855754</v>
      </c>
      <c r="X493">
        <f t="shared" si="32"/>
        <v>-0.0400053346136992</v>
      </c>
      <c r="Y493">
        <v>23</v>
      </c>
    </row>
    <row r="494" spans="1:25">
      <c r="A494" s="1">
        <v>553</v>
      </c>
      <c r="B494" t="s">
        <v>786</v>
      </c>
      <c r="C494" t="s">
        <v>756</v>
      </c>
      <c r="D494" t="s">
        <v>700</v>
      </c>
      <c r="E494" t="s">
        <v>51</v>
      </c>
      <c r="F494" t="s">
        <v>28</v>
      </c>
      <c r="G494">
        <v>23</v>
      </c>
      <c r="H494">
        <v>7</v>
      </c>
      <c r="I494">
        <v>53</v>
      </c>
      <c r="J494">
        <v>10</v>
      </c>
      <c r="K494">
        <v>0</v>
      </c>
      <c r="L494">
        <v>22</v>
      </c>
      <c r="M494">
        <v>14</v>
      </c>
      <c r="N494" t="s">
        <v>707</v>
      </c>
      <c r="O494" t="s">
        <v>702</v>
      </c>
      <c r="P494" t="s">
        <v>221</v>
      </c>
      <c r="Q494" t="s">
        <v>703</v>
      </c>
      <c r="R494" t="s">
        <v>704</v>
      </c>
      <c r="S494">
        <v>16</v>
      </c>
      <c r="T494">
        <v>10</v>
      </c>
      <c r="U494">
        <f t="shared" si="29"/>
        <v>-0.493839343973408</v>
      </c>
      <c r="V494">
        <f t="shared" si="30"/>
        <v>-59.3985258567968</v>
      </c>
      <c r="W494">
        <f t="shared" si="31"/>
        <v>-493.839343973408</v>
      </c>
      <c r="X494">
        <f t="shared" si="32"/>
        <v>-0.200670695462151</v>
      </c>
      <c r="Y494">
        <v>23</v>
      </c>
    </row>
    <row r="495" spans="1:25">
      <c r="A495" s="1">
        <v>554</v>
      </c>
      <c r="B495" t="s">
        <v>787</v>
      </c>
      <c r="C495" t="s">
        <v>756</v>
      </c>
      <c r="D495" t="s">
        <v>700</v>
      </c>
      <c r="E495" t="s">
        <v>51</v>
      </c>
      <c r="F495" t="s">
        <v>28</v>
      </c>
      <c r="G495">
        <v>23</v>
      </c>
      <c r="H495">
        <v>7</v>
      </c>
      <c r="I495">
        <v>53</v>
      </c>
      <c r="J495">
        <v>10</v>
      </c>
      <c r="K495">
        <v>0</v>
      </c>
      <c r="L495">
        <v>22</v>
      </c>
      <c r="M495">
        <v>14</v>
      </c>
      <c r="N495" t="s">
        <v>707</v>
      </c>
      <c r="O495" t="s">
        <v>702</v>
      </c>
      <c r="P495" t="s">
        <v>221</v>
      </c>
      <c r="Q495" t="s">
        <v>703</v>
      </c>
      <c r="R495" t="s">
        <v>704</v>
      </c>
      <c r="S495">
        <v>9</v>
      </c>
      <c r="T495">
        <v>4</v>
      </c>
      <c r="U495">
        <f t="shared" si="29"/>
        <v>-0.196980621192944</v>
      </c>
      <c r="V495">
        <f t="shared" si="30"/>
        <v>-23.6926414713668</v>
      </c>
      <c r="W495">
        <f t="shared" si="31"/>
        <v>-196.980621192944</v>
      </c>
      <c r="X495">
        <f t="shared" si="32"/>
        <v>-0.0800427076735366</v>
      </c>
      <c r="Y495">
        <v>23</v>
      </c>
    </row>
    <row r="496" spans="1:25">
      <c r="A496" s="1">
        <v>555</v>
      </c>
      <c r="B496" t="s">
        <v>788</v>
      </c>
      <c r="C496" t="s">
        <v>756</v>
      </c>
      <c r="D496" t="s">
        <v>700</v>
      </c>
      <c r="E496" t="s">
        <v>51</v>
      </c>
      <c r="F496" t="s">
        <v>28</v>
      </c>
      <c r="G496">
        <v>23</v>
      </c>
      <c r="H496">
        <v>7</v>
      </c>
      <c r="I496">
        <v>53</v>
      </c>
      <c r="J496">
        <v>10</v>
      </c>
      <c r="K496">
        <v>0</v>
      </c>
      <c r="L496">
        <v>22</v>
      </c>
      <c r="M496">
        <v>14</v>
      </c>
      <c r="N496" t="s">
        <v>707</v>
      </c>
      <c r="O496" t="s">
        <v>702</v>
      </c>
      <c r="P496" t="s">
        <v>221</v>
      </c>
      <c r="Q496" t="s">
        <v>703</v>
      </c>
      <c r="R496" t="s">
        <v>704</v>
      </c>
      <c r="S496">
        <v>39</v>
      </c>
      <c r="T496">
        <v>6</v>
      </c>
      <c r="U496">
        <f t="shared" si="29"/>
        <v>-0.295668423361855</v>
      </c>
      <c r="V496">
        <f t="shared" si="30"/>
        <v>-35.5627163052508</v>
      </c>
      <c r="W496">
        <f t="shared" si="31"/>
        <v>-295.668423361855</v>
      </c>
      <c r="X496">
        <f t="shared" si="32"/>
        <v>-0.120144311842063</v>
      </c>
      <c r="Y496">
        <v>23</v>
      </c>
    </row>
    <row r="497" spans="1:25">
      <c r="A497" s="1">
        <v>556</v>
      </c>
      <c r="B497" t="s">
        <v>789</v>
      </c>
      <c r="C497" t="s">
        <v>756</v>
      </c>
      <c r="D497" t="s">
        <v>700</v>
      </c>
      <c r="E497" t="s">
        <v>51</v>
      </c>
      <c r="F497" t="s">
        <v>28</v>
      </c>
      <c r="G497">
        <v>23</v>
      </c>
      <c r="H497">
        <v>7</v>
      </c>
      <c r="I497">
        <v>53</v>
      </c>
      <c r="J497">
        <v>10</v>
      </c>
      <c r="K497">
        <v>0</v>
      </c>
      <c r="L497">
        <v>22</v>
      </c>
      <c r="M497">
        <v>14</v>
      </c>
      <c r="N497" t="s">
        <v>707</v>
      </c>
      <c r="O497" t="s">
        <v>702</v>
      </c>
      <c r="P497" t="s">
        <v>221</v>
      </c>
      <c r="Q497" t="s">
        <v>703</v>
      </c>
      <c r="R497" t="s">
        <v>704</v>
      </c>
      <c r="S497">
        <v>93</v>
      </c>
      <c r="T497">
        <v>40</v>
      </c>
      <c r="U497">
        <f t="shared" si="29"/>
        <v>-2.08515258573273</v>
      </c>
      <c r="V497">
        <f t="shared" si="30"/>
        <v>-250.800166674612</v>
      </c>
      <c r="W497">
        <f t="shared" si="31"/>
        <v>-2085.15258573273</v>
      </c>
      <c r="X497">
        <f t="shared" si="32"/>
        <v>-0.847297860387204</v>
      </c>
      <c r="Y497">
        <v>23</v>
      </c>
    </row>
    <row r="498" spans="1:25">
      <c r="A498" s="1">
        <v>557</v>
      </c>
      <c r="B498" t="s">
        <v>790</v>
      </c>
      <c r="C498" t="s">
        <v>756</v>
      </c>
      <c r="D498" t="s">
        <v>700</v>
      </c>
      <c r="E498" t="s">
        <v>51</v>
      </c>
      <c r="F498" t="s">
        <v>28</v>
      </c>
      <c r="G498">
        <v>23</v>
      </c>
      <c r="H498">
        <v>7</v>
      </c>
      <c r="I498">
        <v>53</v>
      </c>
      <c r="J498">
        <v>10</v>
      </c>
      <c r="K498">
        <v>0</v>
      </c>
      <c r="L498">
        <v>22</v>
      </c>
      <c r="M498">
        <v>14</v>
      </c>
      <c r="N498" t="s">
        <v>707</v>
      </c>
      <c r="O498" t="s">
        <v>702</v>
      </c>
      <c r="P498" t="s">
        <v>221</v>
      </c>
      <c r="Q498" t="s">
        <v>703</v>
      </c>
      <c r="R498" t="s">
        <v>704</v>
      </c>
      <c r="S498">
        <v>82</v>
      </c>
      <c r="T498">
        <v>36</v>
      </c>
      <c r="U498">
        <f t="shared" si="29"/>
        <v>-1.85499019442734</v>
      </c>
      <c r="V498">
        <f t="shared" si="30"/>
        <v>-223.116453503408</v>
      </c>
      <c r="W498">
        <f t="shared" si="31"/>
        <v>-1854.99019442734</v>
      </c>
      <c r="X498">
        <f t="shared" si="32"/>
        <v>-0.75377180237638</v>
      </c>
      <c r="Y498">
        <v>23</v>
      </c>
    </row>
    <row r="499" spans="1:25">
      <c r="A499" s="1">
        <v>559</v>
      </c>
      <c r="B499" t="s">
        <v>791</v>
      </c>
      <c r="C499" t="s">
        <v>756</v>
      </c>
      <c r="D499" t="s">
        <v>700</v>
      </c>
      <c r="E499" t="s">
        <v>51</v>
      </c>
      <c r="F499" t="s">
        <v>28</v>
      </c>
      <c r="G499">
        <v>23</v>
      </c>
      <c r="H499">
        <v>7</v>
      </c>
      <c r="I499">
        <v>53</v>
      </c>
      <c r="J499">
        <v>10</v>
      </c>
      <c r="K499">
        <v>0</v>
      </c>
      <c r="L499">
        <v>22</v>
      </c>
      <c r="M499">
        <v>14</v>
      </c>
      <c r="N499" t="s">
        <v>707</v>
      </c>
      <c r="O499" t="s">
        <v>702</v>
      </c>
      <c r="P499" t="s">
        <v>221</v>
      </c>
      <c r="Q499" t="s">
        <v>703</v>
      </c>
      <c r="R499" t="s">
        <v>704</v>
      </c>
      <c r="S499">
        <v>89</v>
      </c>
      <c r="T499">
        <v>6</v>
      </c>
      <c r="U499">
        <f t="shared" si="29"/>
        <v>-0.295668423361855</v>
      </c>
      <c r="V499">
        <f t="shared" si="30"/>
        <v>-35.5627163052508</v>
      </c>
      <c r="W499">
        <f t="shared" si="31"/>
        <v>-295.668423361855</v>
      </c>
      <c r="X499">
        <f t="shared" si="32"/>
        <v>-0.120144311842063</v>
      </c>
      <c r="Y499">
        <v>23</v>
      </c>
    </row>
    <row r="500" spans="1:25">
      <c r="A500" s="1">
        <v>560</v>
      </c>
      <c r="B500" t="s">
        <v>792</v>
      </c>
      <c r="C500" t="s">
        <v>756</v>
      </c>
      <c r="D500" t="s">
        <v>700</v>
      </c>
      <c r="E500" t="s">
        <v>51</v>
      </c>
      <c r="F500" t="s">
        <v>28</v>
      </c>
      <c r="G500">
        <v>23</v>
      </c>
      <c r="H500">
        <v>7</v>
      </c>
      <c r="I500">
        <v>14</v>
      </c>
      <c r="J500">
        <v>10</v>
      </c>
      <c r="K500">
        <v>0</v>
      </c>
      <c r="L500">
        <v>22</v>
      </c>
      <c r="M500">
        <v>14</v>
      </c>
      <c r="N500" t="s">
        <v>214</v>
      </c>
      <c r="O500" t="s">
        <v>702</v>
      </c>
      <c r="P500" t="s">
        <v>221</v>
      </c>
      <c r="Q500" t="s">
        <v>703</v>
      </c>
      <c r="R500" t="s">
        <v>704</v>
      </c>
      <c r="S500">
        <v>49</v>
      </c>
      <c r="T500">
        <v>80</v>
      </c>
      <c r="U500">
        <f t="shared" si="29"/>
        <v>-5.40724664024811</v>
      </c>
      <c r="V500">
        <f t="shared" si="30"/>
        <v>-650.378474891521</v>
      </c>
      <c r="W500">
        <f t="shared" si="31"/>
        <v>-5407.24664024811</v>
      </c>
      <c r="X500">
        <f t="shared" si="32"/>
        <v>-2.19722457733622</v>
      </c>
      <c r="Y500">
        <v>23</v>
      </c>
    </row>
    <row r="501" spans="1:25">
      <c r="A501" s="1">
        <v>561</v>
      </c>
      <c r="B501" t="s">
        <v>793</v>
      </c>
      <c r="C501" t="s">
        <v>756</v>
      </c>
      <c r="D501" t="s">
        <v>700</v>
      </c>
      <c r="E501" t="s">
        <v>51</v>
      </c>
      <c r="F501" t="s">
        <v>28</v>
      </c>
      <c r="G501">
        <v>23</v>
      </c>
      <c r="H501">
        <v>7</v>
      </c>
      <c r="I501">
        <v>14</v>
      </c>
      <c r="J501">
        <v>10</v>
      </c>
      <c r="K501">
        <v>0</v>
      </c>
      <c r="L501">
        <v>22</v>
      </c>
      <c r="M501">
        <v>14</v>
      </c>
      <c r="N501" t="s">
        <v>214</v>
      </c>
      <c r="O501" t="s">
        <v>702</v>
      </c>
      <c r="P501" t="s">
        <v>221</v>
      </c>
      <c r="Q501" t="s">
        <v>703</v>
      </c>
      <c r="R501" t="s">
        <v>704</v>
      </c>
      <c r="S501">
        <v>5</v>
      </c>
      <c r="T501">
        <v>60</v>
      </c>
      <c r="U501">
        <f t="shared" si="29"/>
        <v>-3.41159279023183</v>
      </c>
      <c r="V501">
        <f t="shared" si="30"/>
        <v>-410.343130891488</v>
      </c>
      <c r="W501">
        <f t="shared" si="31"/>
        <v>-3411.59279023183</v>
      </c>
      <c r="X501">
        <f t="shared" si="32"/>
        <v>-1.38629436111989</v>
      </c>
      <c r="Y501">
        <v>23</v>
      </c>
    </row>
    <row r="502" spans="1:25">
      <c r="A502" s="1">
        <v>563</v>
      </c>
      <c r="B502" t="s">
        <v>794</v>
      </c>
      <c r="C502" t="s">
        <v>756</v>
      </c>
      <c r="D502" t="s">
        <v>700</v>
      </c>
      <c r="E502" t="s">
        <v>51</v>
      </c>
      <c r="F502" t="s">
        <v>28</v>
      </c>
      <c r="G502">
        <v>23</v>
      </c>
      <c r="H502">
        <v>7</v>
      </c>
      <c r="I502">
        <v>14</v>
      </c>
      <c r="J502">
        <v>10</v>
      </c>
      <c r="K502">
        <v>0</v>
      </c>
      <c r="L502">
        <v>22</v>
      </c>
      <c r="M502">
        <v>14</v>
      </c>
      <c r="N502" t="s">
        <v>214</v>
      </c>
      <c r="O502" t="s">
        <v>702</v>
      </c>
      <c r="P502" t="s">
        <v>221</v>
      </c>
      <c r="Q502" t="s">
        <v>703</v>
      </c>
      <c r="R502" t="s">
        <v>704</v>
      </c>
      <c r="S502">
        <v>20</v>
      </c>
      <c r="T502">
        <v>37</v>
      </c>
      <c r="U502">
        <f t="shared" si="29"/>
        <v>-1.91177499342629</v>
      </c>
      <c r="V502">
        <f t="shared" si="30"/>
        <v>-229.946475033231</v>
      </c>
      <c r="W502">
        <f t="shared" si="31"/>
        <v>-1911.77499342629</v>
      </c>
      <c r="X502">
        <f t="shared" si="32"/>
        <v>-0.776846199436592</v>
      </c>
      <c r="Y502">
        <v>23</v>
      </c>
    </row>
    <row r="503" spans="1:25">
      <c r="A503" s="1">
        <v>564</v>
      </c>
      <c r="B503" t="s">
        <v>795</v>
      </c>
      <c r="C503" t="s">
        <v>796</v>
      </c>
      <c r="D503" t="s">
        <v>797</v>
      </c>
      <c r="E503" t="s">
        <v>798</v>
      </c>
      <c r="F503" t="s">
        <v>292</v>
      </c>
      <c r="G503">
        <v>15</v>
      </c>
      <c r="H503">
        <v>4</v>
      </c>
      <c r="I503">
        <v>38</v>
      </c>
      <c r="J503">
        <v>54</v>
      </c>
      <c r="K503">
        <v>10</v>
      </c>
      <c r="L503">
        <v>22</v>
      </c>
      <c r="M503">
        <v>22</v>
      </c>
      <c r="N503" t="s">
        <v>799</v>
      </c>
      <c r="O503" t="s">
        <v>800</v>
      </c>
      <c r="P503" t="s">
        <v>228</v>
      </c>
      <c r="Q503" t="s">
        <v>703</v>
      </c>
      <c r="R503" t="s">
        <v>801</v>
      </c>
      <c r="S503">
        <v>90</v>
      </c>
      <c r="T503">
        <v>92</v>
      </c>
      <c r="U503">
        <f t="shared" si="29"/>
        <v>-7.60963378910769</v>
      </c>
      <c r="V503">
        <f t="shared" si="30"/>
        <v>-915.279503140208</v>
      </c>
      <c r="W503">
        <f t="shared" si="31"/>
        <v>-7609.63378910769</v>
      </c>
      <c r="X503">
        <f t="shared" si="32"/>
        <v>-3.17805383034795</v>
      </c>
      <c r="Y503">
        <v>15</v>
      </c>
    </row>
    <row r="504" spans="1:25">
      <c r="A504" s="1">
        <v>565</v>
      </c>
      <c r="B504" t="s">
        <v>795</v>
      </c>
      <c r="C504" t="s">
        <v>796</v>
      </c>
      <c r="D504" t="s">
        <v>797</v>
      </c>
      <c r="E504" t="s">
        <v>798</v>
      </c>
      <c r="F504" t="s">
        <v>292</v>
      </c>
      <c r="G504">
        <v>15</v>
      </c>
      <c r="H504">
        <v>4</v>
      </c>
      <c r="I504">
        <v>36</v>
      </c>
      <c r="J504">
        <v>54</v>
      </c>
      <c r="K504">
        <v>10</v>
      </c>
      <c r="L504">
        <v>22</v>
      </c>
      <c r="M504">
        <v>22</v>
      </c>
      <c r="N504" t="s">
        <v>802</v>
      </c>
      <c r="O504" t="s">
        <v>800</v>
      </c>
      <c r="P504" t="s">
        <v>228</v>
      </c>
      <c r="Q504" t="s">
        <v>703</v>
      </c>
      <c r="R504" t="s">
        <v>801</v>
      </c>
      <c r="S504">
        <v>77</v>
      </c>
      <c r="T504">
        <v>92</v>
      </c>
      <c r="U504">
        <f t="shared" si="29"/>
        <v>-7.60963378910769</v>
      </c>
      <c r="V504">
        <f t="shared" si="30"/>
        <v>-915.279503140208</v>
      </c>
      <c r="W504">
        <f t="shared" si="31"/>
        <v>-7609.63378910769</v>
      </c>
      <c r="X504">
        <f t="shared" si="32"/>
        <v>-3.17805383034795</v>
      </c>
      <c r="Y504">
        <v>15</v>
      </c>
    </row>
    <row r="505" spans="1:25">
      <c r="A505" s="1">
        <v>566</v>
      </c>
      <c r="B505" t="s">
        <v>795</v>
      </c>
      <c r="C505" t="s">
        <v>796</v>
      </c>
      <c r="D505" t="s">
        <v>797</v>
      </c>
      <c r="E505" t="s">
        <v>798</v>
      </c>
      <c r="F505" t="s">
        <v>292</v>
      </c>
      <c r="G505">
        <v>25</v>
      </c>
      <c r="H505">
        <v>4</v>
      </c>
      <c r="I505">
        <v>38</v>
      </c>
      <c r="J505">
        <v>54</v>
      </c>
      <c r="K505">
        <v>10</v>
      </c>
      <c r="L505">
        <v>22</v>
      </c>
      <c r="M505">
        <v>22</v>
      </c>
      <c r="N505" t="s">
        <v>799</v>
      </c>
      <c r="O505" t="s">
        <v>800</v>
      </c>
      <c r="P505" t="s">
        <v>228</v>
      </c>
      <c r="Q505" t="s">
        <v>703</v>
      </c>
      <c r="R505" t="s">
        <v>801</v>
      </c>
      <c r="S505">
        <v>89</v>
      </c>
      <c r="T505">
        <v>91</v>
      </c>
      <c r="U505">
        <f t="shared" si="29"/>
        <v>-7.5691034911523</v>
      </c>
      <c r="V505">
        <f t="shared" si="30"/>
        <v>-910.404557511703</v>
      </c>
      <c r="W505">
        <f t="shared" si="31"/>
        <v>-7569.1034911523</v>
      </c>
      <c r="X505">
        <f t="shared" si="32"/>
        <v>-3.05504885071041</v>
      </c>
      <c r="Y505">
        <v>25</v>
      </c>
    </row>
    <row r="506" spans="1:25">
      <c r="A506" s="1">
        <v>567</v>
      </c>
      <c r="B506" t="s">
        <v>795</v>
      </c>
      <c r="C506" t="s">
        <v>796</v>
      </c>
      <c r="D506" t="s">
        <v>797</v>
      </c>
      <c r="E506" t="s">
        <v>798</v>
      </c>
      <c r="F506" t="s">
        <v>292</v>
      </c>
      <c r="G506">
        <v>15</v>
      </c>
      <c r="H506">
        <v>4</v>
      </c>
      <c r="I506">
        <v>35</v>
      </c>
      <c r="J506">
        <v>54</v>
      </c>
      <c r="K506">
        <v>10</v>
      </c>
      <c r="L506">
        <v>22</v>
      </c>
      <c r="M506">
        <v>22</v>
      </c>
      <c r="N506" t="s">
        <v>803</v>
      </c>
      <c r="O506" t="s">
        <v>800</v>
      </c>
      <c r="P506" t="s">
        <v>228</v>
      </c>
      <c r="Q506" t="s">
        <v>703</v>
      </c>
      <c r="R506" t="s">
        <v>801</v>
      </c>
      <c r="S506">
        <v>20</v>
      </c>
      <c r="T506">
        <v>86</v>
      </c>
      <c r="U506">
        <f t="shared" si="29"/>
        <v>-6.19365173956712</v>
      </c>
      <c r="V506">
        <f t="shared" si="30"/>
        <v>-744.966531100207</v>
      </c>
      <c r="W506">
        <f t="shared" si="31"/>
        <v>-6193.65173956712</v>
      </c>
      <c r="X506">
        <f t="shared" si="32"/>
        <v>-2.58668934409794</v>
      </c>
      <c r="Y506">
        <v>15</v>
      </c>
    </row>
    <row r="507" spans="1:25">
      <c r="A507" s="1">
        <v>568</v>
      </c>
      <c r="B507" t="s">
        <v>795</v>
      </c>
      <c r="C507" t="s">
        <v>796</v>
      </c>
      <c r="D507" t="s">
        <v>797</v>
      </c>
      <c r="E507" t="s">
        <v>798</v>
      </c>
      <c r="F507" t="s">
        <v>292</v>
      </c>
      <c r="G507">
        <v>15</v>
      </c>
      <c r="H507">
        <v>4</v>
      </c>
      <c r="I507">
        <v>28</v>
      </c>
      <c r="J507">
        <v>54</v>
      </c>
      <c r="K507">
        <v>10</v>
      </c>
      <c r="L507">
        <v>22</v>
      </c>
      <c r="M507">
        <v>22</v>
      </c>
      <c r="N507" t="s">
        <v>804</v>
      </c>
      <c r="O507" t="s">
        <v>800</v>
      </c>
      <c r="P507" t="s">
        <v>228</v>
      </c>
      <c r="Q507" t="s">
        <v>703</v>
      </c>
      <c r="R507" t="s">
        <v>801</v>
      </c>
      <c r="S507">
        <v>75</v>
      </c>
      <c r="T507">
        <v>87</v>
      </c>
      <c r="U507">
        <f t="shared" si="29"/>
        <v>-6.38393704778702</v>
      </c>
      <c r="V507">
        <f t="shared" si="30"/>
        <v>-767.853866705198</v>
      </c>
      <c r="W507">
        <f t="shared" si="31"/>
        <v>-6383.93704778702</v>
      </c>
      <c r="X507">
        <f t="shared" si="32"/>
        <v>-2.66615925939305</v>
      </c>
      <c r="Y507">
        <v>15</v>
      </c>
    </row>
    <row r="508" spans="1:25">
      <c r="A508" s="1">
        <v>569</v>
      </c>
      <c r="B508" t="s">
        <v>795</v>
      </c>
      <c r="C508" t="s">
        <v>796</v>
      </c>
      <c r="D508" t="s">
        <v>797</v>
      </c>
      <c r="E508" t="s">
        <v>798</v>
      </c>
      <c r="F508" t="s">
        <v>292</v>
      </c>
      <c r="G508">
        <v>15</v>
      </c>
      <c r="H508">
        <v>4</v>
      </c>
      <c r="I508">
        <v>62</v>
      </c>
      <c r="J508">
        <v>54</v>
      </c>
      <c r="K508">
        <v>10</v>
      </c>
      <c r="L508">
        <v>22</v>
      </c>
      <c r="M508">
        <v>22</v>
      </c>
      <c r="N508" t="s">
        <v>805</v>
      </c>
      <c r="O508" t="s">
        <v>800</v>
      </c>
      <c r="P508" t="s">
        <v>228</v>
      </c>
      <c r="Q508" t="s">
        <v>703</v>
      </c>
      <c r="R508" t="s">
        <v>801</v>
      </c>
      <c r="S508">
        <v>72</v>
      </c>
      <c r="T508">
        <v>90</v>
      </c>
      <c r="U508">
        <f t="shared" si="29"/>
        <v>-7.05025891376346</v>
      </c>
      <c r="V508">
        <f t="shared" si="30"/>
        <v>-847.998425999935</v>
      </c>
      <c r="W508">
        <f t="shared" si="31"/>
        <v>-7050.25891376346</v>
      </c>
      <c r="X508">
        <f t="shared" si="32"/>
        <v>-2.94443897916644</v>
      </c>
      <c r="Y508">
        <v>15</v>
      </c>
    </row>
    <row r="509" spans="1:25">
      <c r="A509" s="1">
        <v>570</v>
      </c>
      <c r="B509" t="s">
        <v>806</v>
      </c>
      <c r="C509" t="s">
        <v>796</v>
      </c>
      <c r="D509" t="s">
        <v>797</v>
      </c>
      <c r="E509" t="s">
        <v>798</v>
      </c>
      <c r="F509" t="s">
        <v>292</v>
      </c>
      <c r="G509">
        <v>15</v>
      </c>
      <c r="H509">
        <v>4</v>
      </c>
      <c r="I509">
        <v>38</v>
      </c>
      <c r="J509">
        <v>54</v>
      </c>
      <c r="K509">
        <v>10</v>
      </c>
      <c r="L509">
        <v>22</v>
      </c>
      <c r="M509">
        <v>22</v>
      </c>
      <c r="N509" t="s">
        <v>799</v>
      </c>
      <c r="O509" t="s">
        <v>800</v>
      </c>
      <c r="P509" t="s">
        <v>228</v>
      </c>
      <c r="Q509" t="s">
        <v>703</v>
      </c>
      <c r="R509" t="s">
        <v>801</v>
      </c>
      <c r="S509">
        <v>89</v>
      </c>
      <c r="T509">
        <v>13</v>
      </c>
      <c r="U509">
        <f t="shared" si="29"/>
        <v>-0.626095361168695</v>
      </c>
      <c r="V509">
        <f t="shared" si="30"/>
        <v>-75.3061536166339</v>
      </c>
      <c r="W509">
        <f t="shared" si="31"/>
        <v>-626.095361168695</v>
      </c>
      <c r="X509">
        <f t="shared" si="32"/>
        <v>-0.261479700057757</v>
      </c>
      <c r="Y509">
        <v>15</v>
      </c>
    </row>
    <row r="510" spans="1:25">
      <c r="A510" s="1">
        <v>571</v>
      </c>
      <c r="B510" t="s">
        <v>807</v>
      </c>
      <c r="C510" t="s">
        <v>796</v>
      </c>
      <c r="D510" t="s">
        <v>797</v>
      </c>
      <c r="E510" t="s">
        <v>798</v>
      </c>
      <c r="F510" t="s">
        <v>292</v>
      </c>
      <c r="G510">
        <v>15</v>
      </c>
      <c r="H510">
        <v>4</v>
      </c>
      <c r="I510">
        <v>38</v>
      </c>
      <c r="J510">
        <v>54</v>
      </c>
      <c r="K510">
        <v>10</v>
      </c>
      <c r="L510">
        <v>22</v>
      </c>
      <c r="M510">
        <v>22</v>
      </c>
      <c r="N510" t="s">
        <v>799</v>
      </c>
      <c r="O510" t="s">
        <v>800</v>
      </c>
      <c r="P510" t="s">
        <v>228</v>
      </c>
      <c r="Q510" t="s">
        <v>703</v>
      </c>
      <c r="R510" t="s">
        <v>801</v>
      </c>
      <c r="S510">
        <v>79</v>
      </c>
      <c r="T510">
        <v>23</v>
      </c>
      <c r="U510">
        <f t="shared" si="29"/>
        <v>-1.12150150654313</v>
      </c>
      <c r="V510">
        <f t="shared" si="30"/>
        <v>-134.893132853395</v>
      </c>
      <c r="W510">
        <f t="shared" si="31"/>
        <v>-1121.50150654313</v>
      </c>
      <c r="X510">
        <f t="shared" si="32"/>
        <v>-0.468378933518734</v>
      </c>
      <c r="Y510">
        <v>15</v>
      </c>
    </row>
    <row r="511" spans="1:25">
      <c r="A511" s="1">
        <v>572</v>
      </c>
      <c r="B511" t="s">
        <v>795</v>
      </c>
      <c r="C511" t="s">
        <v>808</v>
      </c>
      <c r="D511" t="s">
        <v>809</v>
      </c>
      <c r="E511" t="s">
        <v>798</v>
      </c>
      <c r="F511" t="s">
        <v>292</v>
      </c>
      <c r="G511">
        <v>15</v>
      </c>
      <c r="H511">
        <v>4</v>
      </c>
      <c r="I511">
        <v>38</v>
      </c>
      <c r="J511">
        <v>54</v>
      </c>
      <c r="K511">
        <v>10</v>
      </c>
      <c r="L511">
        <v>22</v>
      </c>
      <c r="M511">
        <v>22</v>
      </c>
      <c r="N511" t="s">
        <v>799</v>
      </c>
      <c r="O511" t="s">
        <v>800</v>
      </c>
      <c r="P511" t="s">
        <v>228</v>
      </c>
      <c r="Q511" t="s">
        <v>703</v>
      </c>
      <c r="R511" t="s">
        <v>801</v>
      </c>
      <c r="S511">
        <v>88</v>
      </c>
      <c r="T511">
        <v>90</v>
      </c>
      <c r="U511">
        <f t="shared" si="29"/>
        <v>-7.05025891376346</v>
      </c>
      <c r="V511">
        <f t="shared" si="30"/>
        <v>-847.998425999935</v>
      </c>
      <c r="W511">
        <f t="shared" si="31"/>
        <v>-7050.25891376346</v>
      </c>
      <c r="X511">
        <f t="shared" si="32"/>
        <v>-2.94443897916644</v>
      </c>
      <c r="Y511">
        <v>15</v>
      </c>
    </row>
    <row r="512" spans="1:25">
      <c r="A512" s="1">
        <v>573</v>
      </c>
      <c r="B512" t="s">
        <v>795</v>
      </c>
      <c r="C512" t="s">
        <v>810</v>
      </c>
      <c r="D512" t="s">
        <v>811</v>
      </c>
      <c r="E512" t="s">
        <v>798</v>
      </c>
      <c r="F512" t="s">
        <v>292</v>
      </c>
      <c r="G512">
        <v>15</v>
      </c>
      <c r="H512">
        <v>4</v>
      </c>
      <c r="I512">
        <v>38</v>
      </c>
      <c r="J512">
        <v>54</v>
      </c>
      <c r="K512">
        <v>10</v>
      </c>
      <c r="L512">
        <v>22</v>
      </c>
      <c r="M512">
        <v>22</v>
      </c>
      <c r="N512" t="s">
        <v>799</v>
      </c>
      <c r="O512" t="s">
        <v>800</v>
      </c>
      <c r="P512" t="s">
        <v>228</v>
      </c>
      <c r="Q512" t="s">
        <v>703</v>
      </c>
      <c r="R512" t="s">
        <v>801</v>
      </c>
      <c r="S512">
        <v>75</v>
      </c>
      <c r="T512">
        <v>91</v>
      </c>
      <c r="U512">
        <f t="shared" si="29"/>
        <v>-7.31510672970423</v>
      </c>
      <c r="V512">
        <f t="shared" si="30"/>
        <v>-879.854069004598</v>
      </c>
      <c r="W512">
        <f t="shared" si="31"/>
        <v>-7315.10672970423</v>
      </c>
      <c r="X512">
        <f t="shared" si="32"/>
        <v>-3.05504885071041</v>
      </c>
      <c r="Y512">
        <v>15</v>
      </c>
    </row>
    <row r="513" spans="1:25">
      <c r="A513" s="1">
        <v>574</v>
      </c>
      <c r="B513" t="s">
        <v>795</v>
      </c>
      <c r="C513" t="s">
        <v>812</v>
      </c>
      <c r="D513" t="s">
        <v>813</v>
      </c>
      <c r="E513" t="s">
        <v>798</v>
      </c>
      <c r="F513" t="s">
        <v>292</v>
      </c>
      <c r="G513">
        <v>15</v>
      </c>
      <c r="H513">
        <v>4</v>
      </c>
      <c r="I513">
        <v>38</v>
      </c>
      <c r="J513">
        <v>54</v>
      </c>
      <c r="K513">
        <v>10</v>
      </c>
      <c r="L513">
        <v>22</v>
      </c>
      <c r="M513">
        <v>22</v>
      </c>
      <c r="N513" t="s">
        <v>799</v>
      </c>
      <c r="O513" t="s">
        <v>800</v>
      </c>
      <c r="P513" t="s">
        <v>228</v>
      </c>
      <c r="Q513" t="s">
        <v>703</v>
      </c>
      <c r="R513" t="s">
        <v>801</v>
      </c>
      <c r="S513">
        <v>81</v>
      </c>
      <c r="T513">
        <v>90</v>
      </c>
      <c r="U513">
        <f t="shared" si="29"/>
        <v>-7.05025891376346</v>
      </c>
      <c r="V513">
        <f t="shared" si="30"/>
        <v>-847.998425999935</v>
      </c>
      <c r="W513">
        <f t="shared" si="31"/>
        <v>-7050.25891376346</v>
      </c>
      <c r="X513">
        <f t="shared" si="32"/>
        <v>-2.94443897916644</v>
      </c>
      <c r="Y513">
        <v>15</v>
      </c>
    </row>
    <row r="514" spans="1:25">
      <c r="A514" s="1">
        <v>575</v>
      </c>
      <c r="B514" t="s">
        <v>795</v>
      </c>
      <c r="C514" t="s">
        <v>814</v>
      </c>
      <c r="D514" t="s">
        <v>815</v>
      </c>
      <c r="E514" t="s">
        <v>798</v>
      </c>
      <c r="F514" t="s">
        <v>292</v>
      </c>
      <c r="G514">
        <v>15</v>
      </c>
      <c r="H514">
        <v>4</v>
      </c>
      <c r="I514">
        <v>38</v>
      </c>
      <c r="J514">
        <v>54</v>
      </c>
      <c r="K514">
        <v>10</v>
      </c>
      <c r="L514">
        <v>22</v>
      </c>
      <c r="M514">
        <v>22</v>
      </c>
      <c r="N514" t="s">
        <v>799</v>
      </c>
      <c r="O514" t="s">
        <v>800</v>
      </c>
      <c r="P514" t="s">
        <v>228</v>
      </c>
      <c r="Q514" t="s">
        <v>703</v>
      </c>
      <c r="R514" t="s">
        <v>801</v>
      </c>
      <c r="S514">
        <v>83</v>
      </c>
      <c r="T514">
        <v>89</v>
      </c>
      <c r="U514">
        <f t="shared" ref="U514:U577" si="33">LN((1+T514*0.01)/(1-T514*0.01))*-(G514+273)*8.314/1000</f>
        <v>-6.80940961492614</v>
      </c>
      <c r="V514">
        <f t="shared" ref="V514:V577" si="34">LN((1+T514*0.01)/(1-T514*0.01))*-(G514+273)</f>
        <v>-819.029301771246</v>
      </c>
      <c r="W514">
        <f t="shared" ref="W514:W577" si="35">LN((1+T514*0.01)/(1-T514*0.01))*-(G514+273)*8.314</f>
        <v>-6809.40961492614</v>
      </c>
      <c r="X514">
        <f t="shared" si="32"/>
        <v>-2.84385174226127</v>
      </c>
      <c r="Y514">
        <v>15</v>
      </c>
    </row>
    <row r="515" spans="1:25">
      <c r="A515" s="1">
        <v>576</v>
      </c>
      <c r="B515" t="s">
        <v>795</v>
      </c>
      <c r="C515" t="s">
        <v>816</v>
      </c>
      <c r="D515" t="s">
        <v>817</v>
      </c>
      <c r="E515" t="s">
        <v>798</v>
      </c>
      <c r="F515" t="s">
        <v>292</v>
      </c>
      <c r="G515">
        <v>15</v>
      </c>
      <c r="H515">
        <v>4</v>
      </c>
      <c r="I515">
        <v>38</v>
      </c>
      <c r="J515">
        <v>54</v>
      </c>
      <c r="K515">
        <v>10</v>
      </c>
      <c r="L515">
        <v>22</v>
      </c>
      <c r="M515">
        <v>22</v>
      </c>
      <c r="N515" t="s">
        <v>799</v>
      </c>
      <c r="O515" t="s">
        <v>800</v>
      </c>
      <c r="P515" t="s">
        <v>228</v>
      </c>
      <c r="Q515" t="s">
        <v>703</v>
      </c>
      <c r="R515" t="s">
        <v>801</v>
      </c>
      <c r="S515">
        <v>83</v>
      </c>
      <c r="T515">
        <v>88</v>
      </c>
      <c r="U515">
        <f t="shared" si="33"/>
        <v>-6.58836420267766</v>
      </c>
      <c r="V515">
        <f t="shared" si="34"/>
        <v>-792.442170156081</v>
      </c>
      <c r="W515">
        <f t="shared" si="35"/>
        <v>-6588.36420267766</v>
      </c>
      <c r="X515">
        <f t="shared" si="32"/>
        <v>-2.75153531304195</v>
      </c>
      <c r="Y515">
        <v>15</v>
      </c>
    </row>
    <row r="516" spans="1:25">
      <c r="A516" s="1">
        <v>577</v>
      </c>
      <c r="B516" t="s">
        <v>795</v>
      </c>
      <c r="C516" t="s">
        <v>818</v>
      </c>
      <c r="D516" t="s">
        <v>819</v>
      </c>
      <c r="E516" t="s">
        <v>798</v>
      </c>
      <c r="F516" t="s">
        <v>292</v>
      </c>
      <c r="G516">
        <v>15</v>
      </c>
      <c r="H516">
        <v>4</v>
      </c>
      <c r="I516">
        <v>38</v>
      </c>
      <c r="J516">
        <v>54</v>
      </c>
      <c r="K516">
        <v>10</v>
      </c>
      <c r="L516">
        <v>22</v>
      </c>
      <c r="M516">
        <v>22</v>
      </c>
      <c r="N516" t="s">
        <v>799</v>
      </c>
      <c r="O516" t="s">
        <v>800</v>
      </c>
      <c r="P516" t="s">
        <v>228</v>
      </c>
      <c r="Q516" t="s">
        <v>703</v>
      </c>
      <c r="R516" t="s">
        <v>801</v>
      </c>
      <c r="S516">
        <v>63</v>
      </c>
      <c r="T516">
        <v>88</v>
      </c>
      <c r="U516">
        <f t="shared" si="33"/>
        <v>-6.58836420267766</v>
      </c>
      <c r="V516">
        <f t="shared" si="34"/>
        <v>-792.442170156081</v>
      </c>
      <c r="W516">
        <f t="shared" si="35"/>
        <v>-6588.36420267766</v>
      </c>
      <c r="X516">
        <f t="shared" ref="X516:X569" si="36">-LN((1+T516*0.01)/(1-T516*0.01))</f>
        <v>-2.75153531304195</v>
      </c>
      <c r="Y516">
        <v>15</v>
      </c>
    </row>
    <row r="517" spans="1:25">
      <c r="A517" s="1">
        <v>578</v>
      </c>
      <c r="B517" t="s">
        <v>795</v>
      </c>
      <c r="C517" t="s">
        <v>820</v>
      </c>
      <c r="D517" t="s">
        <v>821</v>
      </c>
      <c r="E517" t="s">
        <v>798</v>
      </c>
      <c r="F517" t="s">
        <v>292</v>
      </c>
      <c r="G517">
        <v>15</v>
      </c>
      <c r="H517">
        <v>4</v>
      </c>
      <c r="I517">
        <v>38</v>
      </c>
      <c r="J517">
        <v>54</v>
      </c>
      <c r="K517">
        <v>10</v>
      </c>
      <c r="L517">
        <v>22</v>
      </c>
      <c r="M517">
        <v>22</v>
      </c>
      <c r="N517" t="s">
        <v>799</v>
      </c>
      <c r="O517" t="s">
        <v>800</v>
      </c>
      <c r="P517" t="s">
        <v>228</v>
      </c>
      <c r="Q517" t="s">
        <v>703</v>
      </c>
      <c r="R517" t="s">
        <v>801</v>
      </c>
      <c r="S517">
        <v>63</v>
      </c>
      <c r="T517">
        <v>87</v>
      </c>
      <c r="U517">
        <f t="shared" si="33"/>
        <v>-6.38393704778702</v>
      </c>
      <c r="V517">
        <f t="shared" si="34"/>
        <v>-767.853866705198</v>
      </c>
      <c r="W517">
        <f t="shared" si="35"/>
        <v>-6383.93704778702</v>
      </c>
      <c r="X517">
        <f t="shared" si="36"/>
        <v>-2.66615925939305</v>
      </c>
      <c r="Y517">
        <v>15</v>
      </c>
    </row>
    <row r="518" spans="1:25">
      <c r="A518" s="1">
        <v>579</v>
      </c>
      <c r="B518" t="s">
        <v>795</v>
      </c>
      <c r="C518" t="s">
        <v>822</v>
      </c>
      <c r="D518" t="s">
        <v>823</v>
      </c>
      <c r="E518" t="s">
        <v>798</v>
      </c>
      <c r="F518" t="s">
        <v>292</v>
      </c>
      <c r="G518">
        <v>15</v>
      </c>
      <c r="H518">
        <v>4</v>
      </c>
      <c r="I518">
        <v>38</v>
      </c>
      <c r="J518">
        <v>54</v>
      </c>
      <c r="K518">
        <v>10</v>
      </c>
      <c r="L518">
        <v>22</v>
      </c>
      <c r="M518">
        <v>22</v>
      </c>
      <c r="N518" t="s">
        <v>799</v>
      </c>
      <c r="O518" t="s">
        <v>800</v>
      </c>
      <c r="P518" t="s">
        <v>228</v>
      </c>
      <c r="Q518" t="s">
        <v>703</v>
      </c>
      <c r="R518" t="s">
        <v>801</v>
      </c>
      <c r="S518">
        <v>63</v>
      </c>
      <c r="T518">
        <v>87</v>
      </c>
      <c r="U518">
        <f t="shared" si="33"/>
        <v>-6.38393704778702</v>
      </c>
      <c r="V518">
        <f t="shared" si="34"/>
        <v>-767.853866705198</v>
      </c>
      <c r="W518">
        <f t="shared" si="35"/>
        <v>-6383.93704778702</v>
      </c>
      <c r="X518">
        <f t="shared" si="36"/>
        <v>-2.66615925939305</v>
      </c>
      <c r="Y518">
        <v>15</v>
      </c>
    </row>
    <row r="519" spans="1:25">
      <c r="A519" s="1">
        <v>580</v>
      </c>
      <c r="B519" t="s">
        <v>795</v>
      </c>
      <c r="C519" t="s">
        <v>824</v>
      </c>
      <c r="D519" t="s">
        <v>825</v>
      </c>
      <c r="E519" t="s">
        <v>798</v>
      </c>
      <c r="F519" t="s">
        <v>292</v>
      </c>
      <c r="G519">
        <v>15</v>
      </c>
      <c r="H519">
        <v>4</v>
      </c>
      <c r="I519">
        <v>38</v>
      </c>
      <c r="J519">
        <v>54</v>
      </c>
      <c r="K519">
        <v>10</v>
      </c>
      <c r="L519">
        <v>22</v>
      </c>
      <c r="M519">
        <v>22</v>
      </c>
      <c r="N519" t="s">
        <v>799</v>
      </c>
      <c r="O519" t="s">
        <v>800</v>
      </c>
      <c r="P519" t="s">
        <v>228</v>
      </c>
      <c r="Q519" t="s">
        <v>703</v>
      </c>
      <c r="R519" t="s">
        <v>801</v>
      </c>
      <c r="S519">
        <v>83</v>
      </c>
      <c r="T519">
        <v>92</v>
      </c>
      <c r="U519">
        <f t="shared" si="33"/>
        <v>-7.60963378910769</v>
      </c>
      <c r="V519">
        <f t="shared" si="34"/>
        <v>-915.279503140208</v>
      </c>
      <c r="W519">
        <f t="shared" si="35"/>
        <v>-7609.63378910769</v>
      </c>
      <c r="X519">
        <f t="shared" si="36"/>
        <v>-3.17805383034795</v>
      </c>
      <c r="Y519">
        <v>15</v>
      </c>
    </row>
    <row r="520" spans="1:25">
      <c r="A520" s="1">
        <v>581</v>
      </c>
      <c r="B520" t="s">
        <v>795</v>
      </c>
      <c r="C520" t="s">
        <v>826</v>
      </c>
      <c r="D520" t="s">
        <v>827</v>
      </c>
      <c r="E520" t="s">
        <v>798</v>
      </c>
      <c r="F520" t="s">
        <v>292</v>
      </c>
      <c r="G520">
        <v>15</v>
      </c>
      <c r="H520">
        <v>4</v>
      </c>
      <c r="I520">
        <v>38</v>
      </c>
      <c r="J520">
        <v>54</v>
      </c>
      <c r="K520">
        <v>10</v>
      </c>
      <c r="L520">
        <v>22</v>
      </c>
      <c r="M520">
        <v>22</v>
      </c>
      <c r="N520" t="s">
        <v>799</v>
      </c>
      <c r="O520" t="s">
        <v>800</v>
      </c>
      <c r="P520" t="s">
        <v>228</v>
      </c>
      <c r="Q520" t="s">
        <v>703</v>
      </c>
      <c r="R520" t="s">
        <v>801</v>
      </c>
      <c r="S520">
        <v>76</v>
      </c>
      <c r="T520">
        <v>90</v>
      </c>
      <c r="U520">
        <f t="shared" si="33"/>
        <v>-7.05025891376346</v>
      </c>
      <c r="V520">
        <f t="shared" si="34"/>
        <v>-847.998425999935</v>
      </c>
      <c r="W520">
        <f t="shared" si="35"/>
        <v>-7050.25891376346</v>
      </c>
      <c r="X520">
        <f t="shared" si="36"/>
        <v>-2.94443897916644</v>
      </c>
      <c r="Y520">
        <v>15</v>
      </c>
    </row>
    <row r="521" spans="1:25">
      <c r="A521" s="1">
        <v>582</v>
      </c>
      <c r="B521" t="s">
        <v>795</v>
      </c>
      <c r="C521" t="s">
        <v>828</v>
      </c>
      <c r="D521" t="s">
        <v>829</v>
      </c>
      <c r="E521" t="s">
        <v>798</v>
      </c>
      <c r="F521" t="s">
        <v>292</v>
      </c>
      <c r="G521">
        <v>15</v>
      </c>
      <c r="H521">
        <v>4</v>
      </c>
      <c r="I521">
        <v>38</v>
      </c>
      <c r="J521">
        <v>54</v>
      </c>
      <c r="K521">
        <v>10</v>
      </c>
      <c r="L521">
        <v>22</v>
      </c>
      <c r="M521">
        <v>22</v>
      </c>
      <c r="N521" t="s">
        <v>799</v>
      </c>
      <c r="O521" t="s">
        <v>800</v>
      </c>
      <c r="P521" t="s">
        <v>228</v>
      </c>
      <c r="Q521" t="s">
        <v>703</v>
      </c>
      <c r="R521" t="s">
        <v>801</v>
      </c>
      <c r="S521">
        <v>78</v>
      </c>
      <c r="T521">
        <v>92</v>
      </c>
      <c r="U521">
        <f t="shared" si="33"/>
        <v>-7.60963378910769</v>
      </c>
      <c r="V521">
        <f t="shared" si="34"/>
        <v>-915.279503140208</v>
      </c>
      <c r="W521">
        <f t="shared" si="35"/>
        <v>-7609.63378910769</v>
      </c>
      <c r="X521">
        <f t="shared" si="36"/>
        <v>-3.17805383034795</v>
      </c>
      <c r="Y521">
        <v>15</v>
      </c>
    </row>
    <row r="522" spans="1:25">
      <c r="A522" s="1">
        <v>583</v>
      </c>
      <c r="B522" t="s">
        <v>795</v>
      </c>
      <c r="C522" t="s">
        <v>830</v>
      </c>
      <c r="D522" t="s">
        <v>831</v>
      </c>
      <c r="E522" t="s">
        <v>798</v>
      </c>
      <c r="F522" t="s">
        <v>292</v>
      </c>
      <c r="G522">
        <v>15</v>
      </c>
      <c r="H522">
        <v>4</v>
      </c>
      <c r="I522">
        <v>38</v>
      </c>
      <c r="J522">
        <v>54</v>
      </c>
      <c r="K522">
        <v>10</v>
      </c>
      <c r="L522">
        <v>22</v>
      </c>
      <c r="M522">
        <v>22</v>
      </c>
      <c r="N522" t="s">
        <v>799</v>
      </c>
      <c r="O522" t="s">
        <v>800</v>
      </c>
      <c r="P522" t="s">
        <v>228</v>
      </c>
      <c r="Q522" t="s">
        <v>703</v>
      </c>
      <c r="R522" t="s">
        <v>801</v>
      </c>
      <c r="S522">
        <v>72</v>
      </c>
      <c r="T522">
        <v>89</v>
      </c>
      <c r="U522">
        <f t="shared" si="33"/>
        <v>-6.80940961492614</v>
      </c>
      <c r="V522">
        <f t="shared" si="34"/>
        <v>-819.029301771246</v>
      </c>
      <c r="W522">
        <f t="shared" si="35"/>
        <v>-6809.40961492614</v>
      </c>
      <c r="X522">
        <f t="shared" si="36"/>
        <v>-2.84385174226127</v>
      </c>
      <c r="Y522">
        <v>15</v>
      </c>
    </row>
    <row r="523" spans="1:25">
      <c r="A523" s="1">
        <v>584</v>
      </c>
      <c r="B523" t="s">
        <v>795</v>
      </c>
      <c r="C523" t="s">
        <v>832</v>
      </c>
      <c r="D523" t="s">
        <v>833</v>
      </c>
      <c r="E523" t="s">
        <v>798</v>
      </c>
      <c r="F523" t="s">
        <v>292</v>
      </c>
      <c r="G523">
        <v>15</v>
      </c>
      <c r="H523">
        <v>4</v>
      </c>
      <c r="I523">
        <v>38</v>
      </c>
      <c r="J523">
        <v>54</v>
      </c>
      <c r="K523">
        <v>10</v>
      </c>
      <c r="L523">
        <v>22</v>
      </c>
      <c r="M523">
        <v>22</v>
      </c>
      <c r="N523" t="s">
        <v>799</v>
      </c>
      <c r="O523" t="s">
        <v>800</v>
      </c>
      <c r="P523" t="s">
        <v>228</v>
      </c>
      <c r="Q523" t="s">
        <v>703</v>
      </c>
      <c r="R523" t="s">
        <v>801</v>
      </c>
      <c r="S523">
        <v>72</v>
      </c>
      <c r="T523">
        <v>92</v>
      </c>
      <c r="U523">
        <f t="shared" si="33"/>
        <v>-7.60963378910769</v>
      </c>
      <c r="V523">
        <f t="shared" si="34"/>
        <v>-915.279503140208</v>
      </c>
      <c r="W523">
        <f t="shared" si="35"/>
        <v>-7609.63378910769</v>
      </c>
      <c r="X523">
        <f t="shared" si="36"/>
        <v>-3.17805383034795</v>
      </c>
      <c r="Y523">
        <v>15</v>
      </c>
    </row>
    <row r="524" spans="1:25">
      <c r="A524" s="1">
        <v>585</v>
      </c>
      <c r="B524" t="s">
        <v>795</v>
      </c>
      <c r="C524" t="s">
        <v>834</v>
      </c>
      <c r="D524" t="s">
        <v>835</v>
      </c>
      <c r="E524" t="s">
        <v>798</v>
      </c>
      <c r="F524" t="s">
        <v>292</v>
      </c>
      <c r="G524">
        <v>15</v>
      </c>
      <c r="H524">
        <v>4</v>
      </c>
      <c r="I524">
        <v>38</v>
      </c>
      <c r="J524">
        <v>54</v>
      </c>
      <c r="K524">
        <v>10</v>
      </c>
      <c r="L524">
        <v>22</v>
      </c>
      <c r="M524">
        <v>22</v>
      </c>
      <c r="N524" t="s">
        <v>799</v>
      </c>
      <c r="O524" t="s">
        <v>800</v>
      </c>
      <c r="P524" t="s">
        <v>228</v>
      </c>
      <c r="Q524" t="s">
        <v>703</v>
      </c>
      <c r="R524" t="s">
        <v>801</v>
      </c>
      <c r="S524">
        <v>63</v>
      </c>
      <c r="T524">
        <v>91</v>
      </c>
      <c r="U524">
        <f t="shared" si="33"/>
        <v>-7.31510672970423</v>
      </c>
      <c r="V524">
        <f t="shared" si="34"/>
        <v>-879.854069004598</v>
      </c>
      <c r="W524">
        <f t="shared" si="35"/>
        <v>-7315.10672970423</v>
      </c>
      <c r="X524">
        <f t="shared" si="36"/>
        <v>-3.05504885071041</v>
      </c>
      <c r="Y524">
        <v>15</v>
      </c>
    </row>
    <row r="525" spans="1:25">
      <c r="A525" s="1">
        <v>586</v>
      </c>
      <c r="B525" t="s">
        <v>795</v>
      </c>
      <c r="C525" t="s">
        <v>836</v>
      </c>
      <c r="D525" t="s">
        <v>837</v>
      </c>
      <c r="E525" t="s">
        <v>798</v>
      </c>
      <c r="F525" t="s">
        <v>292</v>
      </c>
      <c r="G525">
        <v>15</v>
      </c>
      <c r="H525">
        <v>4</v>
      </c>
      <c r="I525">
        <v>38</v>
      </c>
      <c r="J525">
        <v>54</v>
      </c>
      <c r="K525">
        <v>10</v>
      </c>
      <c r="L525">
        <v>22</v>
      </c>
      <c r="M525">
        <v>22</v>
      </c>
      <c r="N525" t="s">
        <v>799</v>
      </c>
      <c r="O525" t="s">
        <v>800</v>
      </c>
      <c r="P525" t="s">
        <v>228</v>
      </c>
      <c r="Q525" t="s">
        <v>703</v>
      </c>
      <c r="R525" t="s">
        <v>801</v>
      </c>
      <c r="S525">
        <v>77</v>
      </c>
      <c r="T525">
        <v>95</v>
      </c>
      <c r="U525">
        <f t="shared" si="33"/>
        <v>-8.77214923946551</v>
      </c>
      <c r="V525">
        <f t="shared" si="34"/>
        <v>-1055.10575408534</v>
      </c>
      <c r="W525">
        <f t="shared" si="35"/>
        <v>-8772.14923946551</v>
      </c>
      <c r="X525">
        <f t="shared" si="36"/>
        <v>-3.66356164612965</v>
      </c>
      <c r="Y525">
        <v>15</v>
      </c>
    </row>
    <row r="526" spans="1:25">
      <c r="A526" s="1">
        <v>587</v>
      </c>
      <c r="B526" t="s">
        <v>795</v>
      </c>
      <c r="C526" t="s">
        <v>838</v>
      </c>
      <c r="D526" t="s">
        <v>839</v>
      </c>
      <c r="E526" t="s">
        <v>798</v>
      </c>
      <c r="F526" t="s">
        <v>292</v>
      </c>
      <c r="G526">
        <v>15</v>
      </c>
      <c r="H526">
        <v>4</v>
      </c>
      <c r="I526">
        <v>38</v>
      </c>
      <c r="J526">
        <v>54</v>
      </c>
      <c r="K526">
        <v>10</v>
      </c>
      <c r="L526">
        <v>22</v>
      </c>
      <c r="M526">
        <v>22</v>
      </c>
      <c r="N526" t="s">
        <v>799</v>
      </c>
      <c r="O526" t="s">
        <v>800</v>
      </c>
      <c r="P526" t="s">
        <v>228</v>
      </c>
      <c r="Q526" t="s">
        <v>703</v>
      </c>
      <c r="R526" t="s">
        <v>801</v>
      </c>
      <c r="S526">
        <v>76</v>
      </c>
      <c r="T526">
        <v>96</v>
      </c>
      <c r="U526">
        <f t="shared" si="33"/>
        <v>-9.31869906004562</v>
      </c>
      <c r="V526">
        <f t="shared" si="34"/>
        <v>-1120.84424585586</v>
      </c>
      <c r="W526">
        <f t="shared" si="35"/>
        <v>-9318.69906004562</v>
      </c>
      <c r="X526">
        <f t="shared" si="36"/>
        <v>-3.89182029811063</v>
      </c>
      <c r="Y526">
        <v>15</v>
      </c>
    </row>
    <row r="527" spans="1:25">
      <c r="A527" s="1">
        <v>588</v>
      </c>
      <c r="B527" t="s">
        <v>795</v>
      </c>
      <c r="C527" t="s">
        <v>840</v>
      </c>
      <c r="D527" t="s">
        <v>841</v>
      </c>
      <c r="E527" t="s">
        <v>798</v>
      </c>
      <c r="F527" t="s">
        <v>292</v>
      </c>
      <c r="G527">
        <v>15</v>
      </c>
      <c r="H527">
        <v>4</v>
      </c>
      <c r="I527">
        <v>38</v>
      </c>
      <c r="J527">
        <v>54</v>
      </c>
      <c r="K527">
        <v>10</v>
      </c>
      <c r="L527">
        <v>22</v>
      </c>
      <c r="M527">
        <v>22</v>
      </c>
      <c r="N527" t="s">
        <v>799</v>
      </c>
      <c r="O527" t="s">
        <v>800</v>
      </c>
      <c r="P527" t="s">
        <v>228</v>
      </c>
      <c r="Q527" t="s">
        <v>703</v>
      </c>
      <c r="R527" t="s">
        <v>801</v>
      </c>
      <c r="S527">
        <v>66</v>
      </c>
      <c r="T527">
        <v>95</v>
      </c>
      <c r="U527">
        <f t="shared" si="33"/>
        <v>-8.77214923946551</v>
      </c>
      <c r="V527">
        <f t="shared" si="34"/>
        <v>-1055.10575408534</v>
      </c>
      <c r="W527">
        <f t="shared" si="35"/>
        <v>-8772.14923946551</v>
      </c>
      <c r="X527">
        <f t="shared" si="36"/>
        <v>-3.66356164612965</v>
      </c>
      <c r="Y527">
        <v>15</v>
      </c>
    </row>
    <row r="528" spans="1:25">
      <c r="A528" s="1">
        <v>589</v>
      </c>
      <c r="B528" t="s">
        <v>795</v>
      </c>
      <c r="C528" t="s">
        <v>842</v>
      </c>
      <c r="D528" t="s">
        <v>843</v>
      </c>
      <c r="E528" t="s">
        <v>798</v>
      </c>
      <c r="F528" t="s">
        <v>292</v>
      </c>
      <c r="G528">
        <v>15</v>
      </c>
      <c r="H528">
        <v>4</v>
      </c>
      <c r="I528">
        <v>38</v>
      </c>
      <c r="J528">
        <v>54</v>
      </c>
      <c r="K528">
        <v>10</v>
      </c>
      <c r="L528">
        <v>22</v>
      </c>
      <c r="M528">
        <v>22</v>
      </c>
      <c r="N528" t="s">
        <v>799</v>
      </c>
      <c r="O528" t="s">
        <v>800</v>
      </c>
      <c r="P528" t="s">
        <v>228</v>
      </c>
      <c r="Q528" t="s">
        <v>703</v>
      </c>
      <c r="R528" t="s">
        <v>801</v>
      </c>
      <c r="S528">
        <v>74</v>
      </c>
      <c r="T528">
        <v>95</v>
      </c>
      <c r="U528">
        <f t="shared" si="33"/>
        <v>-8.77214923946551</v>
      </c>
      <c r="V528">
        <f t="shared" si="34"/>
        <v>-1055.10575408534</v>
      </c>
      <c r="W528">
        <f t="shared" si="35"/>
        <v>-8772.14923946551</v>
      </c>
      <c r="X528">
        <f t="shared" si="36"/>
        <v>-3.66356164612965</v>
      </c>
      <c r="Y528">
        <v>15</v>
      </c>
    </row>
    <row r="529" spans="1:25">
      <c r="A529" s="1">
        <v>590</v>
      </c>
      <c r="B529" t="s">
        <v>795</v>
      </c>
      <c r="C529" t="s">
        <v>844</v>
      </c>
      <c r="D529" t="s">
        <v>845</v>
      </c>
      <c r="E529" t="s">
        <v>798</v>
      </c>
      <c r="F529" t="s">
        <v>292</v>
      </c>
      <c r="G529">
        <v>15</v>
      </c>
      <c r="H529">
        <v>4</v>
      </c>
      <c r="I529">
        <v>38</v>
      </c>
      <c r="J529">
        <v>54</v>
      </c>
      <c r="K529">
        <v>10</v>
      </c>
      <c r="L529">
        <v>22</v>
      </c>
      <c r="M529">
        <v>22</v>
      </c>
      <c r="N529" t="s">
        <v>799</v>
      </c>
      <c r="O529" t="s">
        <v>800</v>
      </c>
      <c r="P529" t="s">
        <v>228</v>
      </c>
      <c r="Q529" t="s">
        <v>703</v>
      </c>
      <c r="R529" t="s">
        <v>801</v>
      </c>
      <c r="S529">
        <v>81</v>
      </c>
      <c r="T529">
        <v>95</v>
      </c>
      <c r="U529">
        <f t="shared" si="33"/>
        <v>-8.77214923946551</v>
      </c>
      <c r="V529">
        <f t="shared" si="34"/>
        <v>-1055.10575408534</v>
      </c>
      <c r="W529">
        <f t="shared" si="35"/>
        <v>-8772.14923946551</v>
      </c>
      <c r="X529">
        <f t="shared" si="36"/>
        <v>-3.66356164612965</v>
      </c>
      <c r="Y529">
        <v>15</v>
      </c>
    </row>
    <row r="530" spans="1:25">
      <c r="A530" s="1">
        <v>591</v>
      </c>
      <c r="B530" t="s">
        <v>795</v>
      </c>
      <c r="C530" t="s">
        <v>846</v>
      </c>
      <c r="D530" t="s">
        <v>847</v>
      </c>
      <c r="E530" t="s">
        <v>798</v>
      </c>
      <c r="F530" t="s">
        <v>292</v>
      </c>
      <c r="G530">
        <v>15</v>
      </c>
      <c r="H530">
        <v>4</v>
      </c>
      <c r="I530">
        <v>38</v>
      </c>
      <c r="J530">
        <v>54</v>
      </c>
      <c r="K530">
        <v>10</v>
      </c>
      <c r="L530">
        <v>22</v>
      </c>
      <c r="M530">
        <v>22</v>
      </c>
      <c r="N530" t="s">
        <v>799</v>
      </c>
      <c r="O530" t="s">
        <v>800</v>
      </c>
      <c r="P530" t="s">
        <v>228</v>
      </c>
      <c r="Q530" t="s">
        <v>703</v>
      </c>
      <c r="R530" t="s">
        <v>801</v>
      </c>
      <c r="S530">
        <v>49</v>
      </c>
      <c r="T530">
        <v>96</v>
      </c>
      <c r="U530">
        <f t="shared" si="33"/>
        <v>-9.31869906004562</v>
      </c>
      <c r="V530">
        <f t="shared" si="34"/>
        <v>-1120.84424585586</v>
      </c>
      <c r="W530">
        <f t="shared" si="35"/>
        <v>-9318.69906004562</v>
      </c>
      <c r="X530">
        <f t="shared" si="36"/>
        <v>-3.89182029811063</v>
      </c>
      <c r="Y530">
        <v>15</v>
      </c>
    </row>
    <row r="531" spans="1:25">
      <c r="A531" s="1">
        <v>592</v>
      </c>
      <c r="B531" t="s">
        <v>795</v>
      </c>
      <c r="C531" t="s">
        <v>848</v>
      </c>
      <c r="D531" t="s">
        <v>837</v>
      </c>
      <c r="E531" t="s">
        <v>849</v>
      </c>
      <c r="F531" t="s">
        <v>292</v>
      </c>
      <c r="G531">
        <v>15</v>
      </c>
      <c r="H531">
        <v>4</v>
      </c>
      <c r="I531">
        <v>38</v>
      </c>
      <c r="J531">
        <v>54</v>
      </c>
      <c r="K531">
        <v>10</v>
      </c>
      <c r="L531">
        <v>22</v>
      </c>
      <c r="M531">
        <v>22</v>
      </c>
      <c r="N531" t="s">
        <v>799</v>
      </c>
      <c r="O531" t="s">
        <v>800</v>
      </c>
      <c r="P531" t="s">
        <v>228</v>
      </c>
      <c r="Q531" t="s">
        <v>703</v>
      </c>
      <c r="R531" t="s">
        <v>801</v>
      </c>
      <c r="S531">
        <v>82</v>
      </c>
      <c r="T531">
        <v>95</v>
      </c>
      <c r="U531">
        <f t="shared" si="33"/>
        <v>-8.77214923946551</v>
      </c>
      <c r="V531">
        <f t="shared" si="34"/>
        <v>-1055.10575408534</v>
      </c>
      <c r="W531">
        <f t="shared" si="35"/>
        <v>-8772.14923946551</v>
      </c>
      <c r="X531">
        <f t="shared" si="36"/>
        <v>-3.66356164612965</v>
      </c>
      <c r="Y531">
        <v>15</v>
      </c>
    </row>
    <row r="532" spans="1:25">
      <c r="A532" s="1">
        <v>593</v>
      </c>
      <c r="B532" t="s">
        <v>795</v>
      </c>
      <c r="C532" t="s">
        <v>850</v>
      </c>
      <c r="D532" t="s">
        <v>851</v>
      </c>
      <c r="E532" t="s">
        <v>849</v>
      </c>
      <c r="F532" t="s">
        <v>292</v>
      </c>
      <c r="G532">
        <v>15</v>
      </c>
      <c r="H532">
        <v>4</v>
      </c>
      <c r="I532">
        <v>38</v>
      </c>
      <c r="J532">
        <v>54</v>
      </c>
      <c r="K532">
        <v>10</v>
      </c>
      <c r="L532">
        <v>22</v>
      </c>
      <c r="M532">
        <v>22</v>
      </c>
      <c r="N532" t="s">
        <v>799</v>
      </c>
      <c r="O532" t="s">
        <v>800</v>
      </c>
      <c r="P532" t="s">
        <v>228</v>
      </c>
      <c r="Q532" t="s">
        <v>703</v>
      </c>
      <c r="R532" t="s">
        <v>801</v>
      </c>
      <c r="S532">
        <v>88</v>
      </c>
      <c r="T532">
        <v>92</v>
      </c>
      <c r="U532">
        <f t="shared" si="33"/>
        <v>-7.60963378910769</v>
      </c>
      <c r="V532">
        <f t="shared" si="34"/>
        <v>-915.279503140208</v>
      </c>
      <c r="W532">
        <f t="shared" si="35"/>
        <v>-7609.63378910769</v>
      </c>
      <c r="X532">
        <f t="shared" si="36"/>
        <v>-3.17805383034795</v>
      </c>
      <c r="Y532">
        <v>15</v>
      </c>
    </row>
    <row r="533" spans="1:25">
      <c r="A533" s="1">
        <v>594</v>
      </c>
      <c r="B533" t="s">
        <v>795</v>
      </c>
      <c r="C533" t="s">
        <v>852</v>
      </c>
      <c r="D533" t="s">
        <v>851</v>
      </c>
      <c r="E533" t="s">
        <v>853</v>
      </c>
      <c r="F533" t="s">
        <v>292</v>
      </c>
      <c r="G533">
        <v>15</v>
      </c>
      <c r="H533">
        <v>4</v>
      </c>
      <c r="I533">
        <v>38</v>
      </c>
      <c r="J533">
        <v>54</v>
      </c>
      <c r="K533">
        <v>10</v>
      </c>
      <c r="L533">
        <v>22</v>
      </c>
      <c r="M533">
        <v>22</v>
      </c>
      <c r="N533" t="s">
        <v>799</v>
      </c>
      <c r="O533" t="s">
        <v>800</v>
      </c>
      <c r="P533" t="s">
        <v>228</v>
      </c>
      <c r="Q533" t="s">
        <v>703</v>
      </c>
      <c r="R533" t="s">
        <v>801</v>
      </c>
      <c r="S533">
        <v>80</v>
      </c>
      <c r="T533">
        <v>91</v>
      </c>
      <c r="U533">
        <f t="shared" si="33"/>
        <v>-7.31510672970423</v>
      </c>
      <c r="V533">
        <f t="shared" si="34"/>
        <v>-879.854069004598</v>
      </c>
      <c r="W533">
        <f t="shared" si="35"/>
        <v>-7315.10672970423</v>
      </c>
      <c r="X533">
        <f t="shared" si="36"/>
        <v>-3.05504885071041</v>
      </c>
      <c r="Y533">
        <v>15</v>
      </c>
    </row>
    <row r="534" spans="1:25">
      <c r="A534" s="1">
        <v>595</v>
      </c>
      <c r="B534" t="s">
        <v>795</v>
      </c>
      <c r="C534" t="s">
        <v>854</v>
      </c>
      <c r="D534" t="s">
        <v>851</v>
      </c>
      <c r="E534" t="s">
        <v>855</v>
      </c>
      <c r="F534" t="s">
        <v>292</v>
      </c>
      <c r="G534">
        <v>15</v>
      </c>
      <c r="H534">
        <v>4</v>
      </c>
      <c r="I534">
        <v>38</v>
      </c>
      <c r="J534">
        <v>54</v>
      </c>
      <c r="K534">
        <v>10</v>
      </c>
      <c r="L534">
        <v>22</v>
      </c>
      <c r="M534">
        <v>22</v>
      </c>
      <c r="N534" t="s">
        <v>799</v>
      </c>
      <c r="O534" t="s">
        <v>800</v>
      </c>
      <c r="P534" t="s">
        <v>228</v>
      </c>
      <c r="Q534" t="s">
        <v>703</v>
      </c>
      <c r="R534" t="s">
        <v>801</v>
      </c>
      <c r="S534">
        <v>92</v>
      </c>
      <c r="T534">
        <v>90</v>
      </c>
      <c r="U534">
        <f t="shared" si="33"/>
        <v>-7.05025891376346</v>
      </c>
      <c r="V534">
        <f t="shared" si="34"/>
        <v>-847.998425999935</v>
      </c>
      <c r="W534">
        <f t="shared" si="35"/>
        <v>-7050.25891376346</v>
      </c>
      <c r="X534">
        <f t="shared" si="36"/>
        <v>-2.94443897916644</v>
      </c>
      <c r="Y534">
        <v>15</v>
      </c>
    </row>
    <row r="535" spans="1:25">
      <c r="A535" s="1">
        <v>596</v>
      </c>
      <c r="B535" t="s">
        <v>795</v>
      </c>
      <c r="C535" t="s">
        <v>856</v>
      </c>
      <c r="D535" t="s">
        <v>851</v>
      </c>
      <c r="E535" t="s">
        <v>857</v>
      </c>
      <c r="F535" t="s">
        <v>292</v>
      </c>
      <c r="G535">
        <v>15</v>
      </c>
      <c r="H535">
        <v>4</v>
      </c>
      <c r="I535">
        <v>38</v>
      </c>
      <c r="J535">
        <v>54</v>
      </c>
      <c r="K535">
        <v>10</v>
      </c>
      <c r="L535">
        <v>22</v>
      </c>
      <c r="M535">
        <v>22</v>
      </c>
      <c r="N535" t="s">
        <v>799</v>
      </c>
      <c r="O535" t="s">
        <v>800</v>
      </c>
      <c r="P535" t="s">
        <v>228</v>
      </c>
      <c r="Q535" t="s">
        <v>703</v>
      </c>
      <c r="R535" t="s">
        <v>801</v>
      </c>
      <c r="S535">
        <v>56</v>
      </c>
      <c r="T535">
        <v>90</v>
      </c>
      <c r="U535">
        <f t="shared" si="33"/>
        <v>-7.05025891376346</v>
      </c>
      <c r="V535">
        <f t="shared" si="34"/>
        <v>-847.998425999935</v>
      </c>
      <c r="W535">
        <f t="shared" si="35"/>
        <v>-7050.25891376346</v>
      </c>
      <c r="X535">
        <f t="shared" si="36"/>
        <v>-2.94443897916644</v>
      </c>
      <c r="Y535">
        <v>15</v>
      </c>
    </row>
    <row r="536" spans="1:25">
      <c r="A536" s="1">
        <v>597</v>
      </c>
      <c r="B536" t="s">
        <v>795</v>
      </c>
      <c r="C536" t="s">
        <v>858</v>
      </c>
      <c r="D536" t="s">
        <v>851</v>
      </c>
      <c r="E536" t="s">
        <v>859</v>
      </c>
      <c r="F536" t="s">
        <v>292</v>
      </c>
      <c r="G536">
        <v>15</v>
      </c>
      <c r="H536">
        <v>4</v>
      </c>
      <c r="I536">
        <v>38</v>
      </c>
      <c r="J536">
        <v>54</v>
      </c>
      <c r="K536">
        <v>10</v>
      </c>
      <c r="L536">
        <v>22</v>
      </c>
      <c r="M536">
        <v>22</v>
      </c>
      <c r="N536" t="s">
        <v>799</v>
      </c>
      <c r="O536" t="s">
        <v>800</v>
      </c>
      <c r="P536" t="s">
        <v>228</v>
      </c>
      <c r="Q536" t="s">
        <v>703</v>
      </c>
      <c r="R536" t="s">
        <v>801</v>
      </c>
      <c r="S536">
        <v>75</v>
      </c>
      <c r="T536">
        <v>92</v>
      </c>
      <c r="U536">
        <f t="shared" si="33"/>
        <v>-7.60963378910769</v>
      </c>
      <c r="V536">
        <f t="shared" si="34"/>
        <v>-915.279503140208</v>
      </c>
      <c r="W536">
        <f t="shared" si="35"/>
        <v>-7609.63378910769</v>
      </c>
      <c r="X536">
        <f t="shared" si="36"/>
        <v>-3.17805383034795</v>
      </c>
      <c r="Y536">
        <v>15</v>
      </c>
    </row>
    <row r="537" spans="1:25">
      <c r="A537" s="1">
        <v>598</v>
      </c>
      <c r="B537" t="s">
        <v>795</v>
      </c>
      <c r="C537" t="s">
        <v>860</v>
      </c>
      <c r="D537" t="s">
        <v>851</v>
      </c>
      <c r="E537" t="s">
        <v>861</v>
      </c>
      <c r="F537" t="s">
        <v>292</v>
      </c>
      <c r="G537">
        <v>15</v>
      </c>
      <c r="H537">
        <v>4</v>
      </c>
      <c r="I537">
        <v>38</v>
      </c>
      <c r="J537">
        <v>54</v>
      </c>
      <c r="K537">
        <v>10</v>
      </c>
      <c r="L537">
        <v>22</v>
      </c>
      <c r="M537">
        <v>22</v>
      </c>
      <c r="N537" t="s">
        <v>799</v>
      </c>
      <c r="O537" t="s">
        <v>800</v>
      </c>
      <c r="P537" t="s">
        <v>228</v>
      </c>
      <c r="Q537" t="s">
        <v>703</v>
      </c>
      <c r="R537" t="s">
        <v>801</v>
      </c>
      <c r="S537">
        <v>76</v>
      </c>
      <c r="T537">
        <v>89</v>
      </c>
      <c r="U537">
        <f t="shared" si="33"/>
        <v>-6.80940961492614</v>
      </c>
      <c r="V537">
        <f t="shared" si="34"/>
        <v>-819.029301771246</v>
      </c>
      <c r="W537">
        <f t="shared" si="35"/>
        <v>-6809.40961492614</v>
      </c>
      <c r="X537">
        <f t="shared" si="36"/>
        <v>-2.84385174226127</v>
      </c>
      <c r="Y537">
        <v>15</v>
      </c>
    </row>
    <row r="538" spans="1:25">
      <c r="A538" s="1">
        <v>599</v>
      </c>
      <c r="B538" t="s">
        <v>795</v>
      </c>
      <c r="C538" t="s">
        <v>862</v>
      </c>
      <c r="D538" t="s">
        <v>851</v>
      </c>
      <c r="E538" t="s">
        <v>863</v>
      </c>
      <c r="F538" t="s">
        <v>292</v>
      </c>
      <c r="G538">
        <v>15</v>
      </c>
      <c r="H538">
        <v>4</v>
      </c>
      <c r="I538">
        <v>38</v>
      </c>
      <c r="J538">
        <v>54</v>
      </c>
      <c r="K538">
        <v>10</v>
      </c>
      <c r="L538">
        <v>22</v>
      </c>
      <c r="M538">
        <v>22</v>
      </c>
      <c r="N538" t="s">
        <v>799</v>
      </c>
      <c r="O538" t="s">
        <v>800</v>
      </c>
      <c r="P538" t="s">
        <v>228</v>
      </c>
      <c r="Q538" t="s">
        <v>703</v>
      </c>
      <c r="R538" t="s">
        <v>801</v>
      </c>
      <c r="S538">
        <v>79</v>
      </c>
      <c r="T538">
        <v>91</v>
      </c>
      <c r="U538">
        <f t="shared" si="33"/>
        <v>-7.31510672970423</v>
      </c>
      <c r="V538">
        <f t="shared" si="34"/>
        <v>-879.854069004598</v>
      </c>
      <c r="W538">
        <f t="shared" si="35"/>
        <v>-7315.10672970423</v>
      </c>
      <c r="X538">
        <f t="shared" si="36"/>
        <v>-3.05504885071041</v>
      </c>
      <c r="Y538">
        <v>15</v>
      </c>
    </row>
    <row r="539" spans="1:25">
      <c r="A539" s="1">
        <v>600</v>
      </c>
      <c r="B539" t="s">
        <v>795</v>
      </c>
      <c r="C539" t="s">
        <v>864</v>
      </c>
      <c r="D539" t="s">
        <v>851</v>
      </c>
      <c r="E539" t="s">
        <v>865</v>
      </c>
      <c r="F539" t="s">
        <v>292</v>
      </c>
      <c r="G539">
        <v>15</v>
      </c>
      <c r="H539">
        <v>4</v>
      </c>
      <c r="I539">
        <v>38</v>
      </c>
      <c r="J539">
        <v>54</v>
      </c>
      <c r="K539">
        <v>10</v>
      </c>
      <c r="L539">
        <v>22</v>
      </c>
      <c r="M539">
        <v>22</v>
      </c>
      <c r="N539" t="s">
        <v>799</v>
      </c>
      <c r="O539" t="s">
        <v>800</v>
      </c>
      <c r="P539" t="s">
        <v>228</v>
      </c>
      <c r="Q539" t="s">
        <v>703</v>
      </c>
      <c r="R539" t="s">
        <v>801</v>
      </c>
      <c r="S539">
        <v>84</v>
      </c>
      <c r="T539">
        <v>88</v>
      </c>
      <c r="U539">
        <f t="shared" si="33"/>
        <v>-6.58836420267766</v>
      </c>
      <c r="V539">
        <f t="shared" si="34"/>
        <v>-792.442170156081</v>
      </c>
      <c r="W539">
        <f t="shared" si="35"/>
        <v>-6588.36420267766</v>
      </c>
      <c r="X539">
        <f t="shared" si="36"/>
        <v>-2.75153531304195</v>
      </c>
      <c r="Y539">
        <v>15</v>
      </c>
    </row>
    <row r="540" spans="1:25">
      <c r="A540" s="1">
        <v>601</v>
      </c>
      <c r="B540" t="s">
        <v>795</v>
      </c>
      <c r="C540" t="s">
        <v>866</v>
      </c>
      <c r="D540" t="s">
        <v>851</v>
      </c>
      <c r="E540" t="s">
        <v>867</v>
      </c>
      <c r="F540" t="s">
        <v>292</v>
      </c>
      <c r="G540">
        <v>15</v>
      </c>
      <c r="H540">
        <v>4</v>
      </c>
      <c r="I540">
        <v>38</v>
      </c>
      <c r="J540">
        <v>54</v>
      </c>
      <c r="K540">
        <v>10</v>
      </c>
      <c r="L540">
        <v>22</v>
      </c>
      <c r="M540">
        <v>22</v>
      </c>
      <c r="N540" t="s">
        <v>799</v>
      </c>
      <c r="O540" t="s">
        <v>800</v>
      </c>
      <c r="P540" t="s">
        <v>228</v>
      </c>
      <c r="Q540" t="s">
        <v>703</v>
      </c>
      <c r="R540" t="s">
        <v>801</v>
      </c>
      <c r="S540">
        <v>71</v>
      </c>
      <c r="T540">
        <v>88</v>
      </c>
      <c r="U540">
        <f t="shared" si="33"/>
        <v>-6.58836420267766</v>
      </c>
      <c r="V540">
        <f t="shared" si="34"/>
        <v>-792.442170156081</v>
      </c>
      <c r="W540">
        <f t="shared" si="35"/>
        <v>-6588.36420267766</v>
      </c>
      <c r="X540">
        <f t="shared" si="36"/>
        <v>-2.75153531304195</v>
      </c>
      <c r="Y540">
        <v>15</v>
      </c>
    </row>
    <row r="541" spans="1:25">
      <c r="A541" s="1">
        <v>602</v>
      </c>
      <c r="B541" t="s">
        <v>795</v>
      </c>
      <c r="C541" t="s">
        <v>868</v>
      </c>
      <c r="D541" t="s">
        <v>851</v>
      </c>
      <c r="E541" t="s">
        <v>869</v>
      </c>
      <c r="F541" t="s">
        <v>292</v>
      </c>
      <c r="G541">
        <v>15</v>
      </c>
      <c r="H541">
        <v>4</v>
      </c>
      <c r="I541">
        <v>38</v>
      </c>
      <c r="J541">
        <v>54</v>
      </c>
      <c r="K541">
        <v>10</v>
      </c>
      <c r="L541">
        <v>22</v>
      </c>
      <c r="M541">
        <v>22</v>
      </c>
      <c r="N541" t="s">
        <v>799</v>
      </c>
      <c r="O541" t="s">
        <v>800</v>
      </c>
      <c r="P541" t="s">
        <v>228</v>
      </c>
      <c r="Q541" t="s">
        <v>703</v>
      </c>
      <c r="R541" t="s">
        <v>801</v>
      </c>
      <c r="S541">
        <v>81</v>
      </c>
      <c r="T541">
        <v>92</v>
      </c>
      <c r="U541">
        <f t="shared" si="33"/>
        <v>-7.60963378910769</v>
      </c>
      <c r="V541">
        <f t="shared" si="34"/>
        <v>-915.279503140208</v>
      </c>
      <c r="W541">
        <f t="shared" si="35"/>
        <v>-7609.63378910769</v>
      </c>
      <c r="X541">
        <f t="shared" si="36"/>
        <v>-3.17805383034795</v>
      </c>
      <c r="Y541">
        <v>15</v>
      </c>
    </row>
    <row r="542" spans="1:25">
      <c r="A542" s="1">
        <v>603</v>
      </c>
      <c r="B542" t="s">
        <v>795</v>
      </c>
      <c r="C542" t="s">
        <v>870</v>
      </c>
      <c r="D542" t="s">
        <v>851</v>
      </c>
      <c r="E542" t="s">
        <v>871</v>
      </c>
      <c r="F542" t="s">
        <v>292</v>
      </c>
      <c r="G542">
        <v>15</v>
      </c>
      <c r="H542">
        <v>4</v>
      </c>
      <c r="I542">
        <v>38</v>
      </c>
      <c r="J542">
        <v>54</v>
      </c>
      <c r="K542">
        <v>10</v>
      </c>
      <c r="L542">
        <v>22</v>
      </c>
      <c r="M542">
        <v>22</v>
      </c>
      <c r="N542" t="s">
        <v>799</v>
      </c>
      <c r="O542" t="s">
        <v>800</v>
      </c>
      <c r="P542" t="s">
        <v>228</v>
      </c>
      <c r="Q542" t="s">
        <v>703</v>
      </c>
      <c r="R542" t="s">
        <v>801</v>
      </c>
      <c r="S542">
        <v>86</v>
      </c>
      <c r="T542">
        <v>90</v>
      </c>
      <c r="U542">
        <f t="shared" si="33"/>
        <v>-7.05025891376346</v>
      </c>
      <c r="V542">
        <f t="shared" si="34"/>
        <v>-847.998425999935</v>
      </c>
      <c r="W542">
        <f t="shared" si="35"/>
        <v>-7050.25891376346</v>
      </c>
      <c r="X542">
        <f t="shared" si="36"/>
        <v>-2.94443897916644</v>
      </c>
      <c r="Y542">
        <v>15</v>
      </c>
    </row>
    <row r="543" spans="1:25">
      <c r="A543" s="1">
        <v>604</v>
      </c>
      <c r="B543" t="s">
        <v>795</v>
      </c>
      <c r="C543" t="s">
        <v>872</v>
      </c>
      <c r="D543" t="s">
        <v>851</v>
      </c>
      <c r="E543" t="s">
        <v>873</v>
      </c>
      <c r="F543" t="s">
        <v>292</v>
      </c>
      <c r="G543">
        <v>15</v>
      </c>
      <c r="H543">
        <v>4</v>
      </c>
      <c r="I543">
        <v>38</v>
      </c>
      <c r="J543">
        <v>54</v>
      </c>
      <c r="K543">
        <v>10</v>
      </c>
      <c r="L543">
        <v>22</v>
      </c>
      <c r="M543">
        <v>22</v>
      </c>
      <c r="N543" t="s">
        <v>799</v>
      </c>
      <c r="O543" t="s">
        <v>800</v>
      </c>
      <c r="P543" t="s">
        <v>228</v>
      </c>
      <c r="Q543" t="s">
        <v>703</v>
      </c>
      <c r="R543" t="s">
        <v>801</v>
      </c>
      <c r="S543">
        <v>74</v>
      </c>
      <c r="T543">
        <v>91</v>
      </c>
      <c r="U543">
        <f t="shared" si="33"/>
        <v>-7.31510672970423</v>
      </c>
      <c r="V543">
        <f t="shared" si="34"/>
        <v>-879.854069004598</v>
      </c>
      <c r="W543">
        <f t="shared" si="35"/>
        <v>-7315.10672970423</v>
      </c>
      <c r="X543">
        <f t="shared" si="36"/>
        <v>-3.05504885071041</v>
      </c>
      <c r="Y543">
        <v>15</v>
      </c>
    </row>
    <row r="544" spans="1:25">
      <c r="A544" s="1">
        <v>605</v>
      </c>
      <c r="B544" t="s">
        <v>795</v>
      </c>
      <c r="C544" t="s">
        <v>874</v>
      </c>
      <c r="D544" t="s">
        <v>851</v>
      </c>
      <c r="E544" t="s">
        <v>875</v>
      </c>
      <c r="F544" t="s">
        <v>292</v>
      </c>
      <c r="G544">
        <v>15</v>
      </c>
      <c r="H544">
        <v>4</v>
      </c>
      <c r="I544">
        <v>38</v>
      </c>
      <c r="J544">
        <v>54</v>
      </c>
      <c r="K544">
        <v>10</v>
      </c>
      <c r="L544">
        <v>22</v>
      </c>
      <c r="M544">
        <v>22</v>
      </c>
      <c r="N544" t="s">
        <v>799</v>
      </c>
      <c r="O544" t="s">
        <v>800</v>
      </c>
      <c r="P544" t="s">
        <v>228</v>
      </c>
      <c r="Q544" t="s">
        <v>703</v>
      </c>
      <c r="R544" t="s">
        <v>801</v>
      </c>
      <c r="S544">
        <v>83</v>
      </c>
      <c r="T544">
        <v>92</v>
      </c>
      <c r="U544">
        <f t="shared" si="33"/>
        <v>-7.60963378910769</v>
      </c>
      <c r="V544">
        <f t="shared" si="34"/>
        <v>-915.279503140208</v>
      </c>
      <c r="W544">
        <f t="shared" si="35"/>
        <v>-7609.63378910769</v>
      </c>
      <c r="X544">
        <f t="shared" si="36"/>
        <v>-3.17805383034795</v>
      </c>
      <c r="Y544">
        <v>15</v>
      </c>
    </row>
    <row r="545" spans="1:25">
      <c r="A545" s="1">
        <v>606</v>
      </c>
      <c r="B545" t="s">
        <v>795</v>
      </c>
      <c r="C545" t="s">
        <v>876</v>
      </c>
      <c r="D545" t="s">
        <v>851</v>
      </c>
      <c r="E545" t="s">
        <v>877</v>
      </c>
      <c r="F545" t="s">
        <v>292</v>
      </c>
      <c r="G545">
        <v>15</v>
      </c>
      <c r="H545">
        <v>4</v>
      </c>
      <c r="I545">
        <v>38</v>
      </c>
      <c r="J545">
        <v>54</v>
      </c>
      <c r="K545">
        <v>10</v>
      </c>
      <c r="L545">
        <v>22</v>
      </c>
      <c r="M545">
        <v>22</v>
      </c>
      <c r="N545" t="s">
        <v>799</v>
      </c>
      <c r="O545" t="s">
        <v>800</v>
      </c>
      <c r="P545" t="s">
        <v>228</v>
      </c>
      <c r="Q545" t="s">
        <v>703</v>
      </c>
      <c r="R545" t="s">
        <v>801</v>
      </c>
      <c r="S545">
        <v>83</v>
      </c>
      <c r="T545">
        <v>90</v>
      </c>
      <c r="U545">
        <f t="shared" si="33"/>
        <v>-7.05025891376346</v>
      </c>
      <c r="V545">
        <f t="shared" si="34"/>
        <v>-847.998425999935</v>
      </c>
      <c r="W545">
        <f t="shared" si="35"/>
        <v>-7050.25891376346</v>
      </c>
      <c r="X545">
        <f t="shared" si="36"/>
        <v>-2.94443897916644</v>
      </c>
      <c r="Y545">
        <v>15</v>
      </c>
    </row>
    <row r="546" spans="1:25">
      <c r="A546" s="1">
        <v>607</v>
      </c>
      <c r="B546" t="s">
        <v>795</v>
      </c>
      <c r="C546" t="s">
        <v>878</v>
      </c>
      <c r="D546" t="s">
        <v>851</v>
      </c>
      <c r="E546" t="s">
        <v>879</v>
      </c>
      <c r="F546" t="s">
        <v>292</v>
      </c>
      <c r="G546">
        <v>15</v>
      </c>
      <c r="H546">
        <v>4</v>
      </c>
      <c r="I546">
        <v>38</v>
      </c>
      <c r="J546">
        <v>54</v>
      </c>
      <c r="K546">
        <v>10</v>
      </c>
      <c r="L546">
        <v>22</v>
      </c>
      <c r="M546">
        <v>22</v>
      </c>
      <c r="N546" t="s">
        <v>799</v>
      </c>
      <c r="O546" t="s">
        <v>800</v>
      </c>
      <c r="P546" t="s">
        <v>228</v>
      </c>
      <c r="Q546" t="s">
        <v>703</v>
      </c>
      <c r="R546" t="s">
        <v>801</v>
      </c>
      <c r="S546">
        <v>82</v>
      </c>
      <c r="T546">
        <v>89</v>
      </c>
      <c r="U546">
        <f t="shared" si="33"/>
        <v>-6.80940961492614</v>
      </c>
      <c r="V546">
        <f t="shared" si="34"/>
        <v>-819.029301771246</v>
      </c>
      <c r="W546">
        <f t="shared" si="35"/>
        <v>-6809.40961492614</v>
      </c>
      <c r="X546">
        <f t="shared" si="36"/>
        <v>-2.84385174226127</v>
      </c>
      <c r="Y546">
        <v>15</v>
      </c>
    </row>
    <row r="547" spans="1:25">
      <c r="A547" s="1">
        <v>608</v>
      </c>
      <c r="B547" t="s">
        <v>880</v>
      </c>
      <c r="C547" t="s">
        <v>796</v>
      </c>
      <c r="D547" t="s">
        <v>797</v>
      </c>
      <c r="E547" t="s">
        <v>798</v>
      </c>
      <c r="F547" t="s">
        <v>292</v>
      </c>
      <c r="G547">
        <v>15</v>
      </c>
      <c r="H547">
        <v>4</v>
      </c>
      <c r="I547">
        <v>38</v>
      </c>
      <c r="J547">
        <v>54</v>
      </c>
      <c r="K547">
        <v>10</v>
      </c>
      <c r="L547">
        <v>22</v>
      </c>
      <c r="M547">
        <v>22</v>
      </c>
      <c r="N547" t="s">
        <v>799</v>
      </c>
      <c r="O547" t="s">
        <v>800</v>
      </c>
      <c r="P547" t="s">
        <v>228</v>
      </c>
      <c r="Q547" t="s">
        <v>703</v>
      </c>
      <c r="R547" t="s">
        <v>801</v>
      </c>
      <c r="S547">
        <v>84</v>
      </c>
      <c r="T547">
        <v>69</v>
      </c>
      <c r="U547">
        <f t="shared" si="33"/>
        <v>-4.06074478976091</v>
      </c>
      <c r="V547">
        <f t="shared" si="34"/>
        <v>-488.422515006123</v>
      </c>
      <c r="W547">
        <f t="shared" si="35"/>
        <v>-4060.74478976091</v>
      </c>
      <c r="X547">
        <f t="shared" si="36"/>
        <v>-1.69591151043793</v>
      </c>
      <c r="Y547">
        <v>15</v>
      </c>
    </row>
    <row r="548" spans="1:25">
      <c r="A548" s="1">
        <v>609</v>
      </c>
      <c r="B548" t="s">
        <v>881</v>
      </c>
      <c r="C548" t="s">
        <v>796</v>
      </c>
      <c r="D548" t="s">
        <v>797</v>
      </c>
      <c r="E548" t="s">
        <v>798</v>
      </c>
      <c r="F548" t="s">
        <v>292</v>
      </c>
      <c r="G548">
        <v>15</v>
      </c>
      <c r="H548">
        <v>4</v>
      </c>
      <c r="I548">
        <v>38</v>
      </c>
      <c r="J548">
        <v>54</v>
      </c>
      <c r="K548">
        <v>10</v>
      </c>
      <c r="L548">
        <v>22</v>
      </c>
      <c r="M548">
        <v>22</v>
      </c>
      <c r="N548" t="s">
        <v>799</v>
      </c>
      <c r="O548" t="s">
        <v>800</v>
      </c>
      <c r="P548" t="s">
        <v>228</v>
      </c>
      <c r="Q548" t="s">
        <v>703</v>
      </c>
      <c r="R548" t="s">
        <v>801</v>
      </c>
      <c r="S548">
        <v>69</v>
      </c>
      <c r="T548">
        <v>96</v>
      </c>
      <c r="U548">
        <f t="shared" si="33"/>
        <v>-9.31869906004562</v>
      </c>
      <c r="V548">
        <f t="shared" si="34"/>
        <v>-1120.84424585586</v>
      </c>
      <c r="W548">
        <f t="shared" si="35"/>
        <v>-9318.69906004562</v>
      </c>
      <c r="X548">
        <f t="shared" si="36"/>
        <v>-3.89182029811063</v>
      </c>
      <c r="Y548">
        <v>15</v>
      </c>
    </row>
    <row r="549" spans="1:25">
      <c r="A549" s="1">
        <v>612</v>
      </c>
      <c r="B549" t="s">
        <v>882</v>
      </c>
      <c r="C549" t="s">
        <v>796</v>
      </c>
      <c r="D549" t="s">
        <v>797</v>
      </c>
      <c r="E549" t="s">
        <v>798</v>
      </c>
      <c r="F549" t="s">
        <v>292</v>
      </c>
      <c r="G549">
        <v>15</v>
      </c>
      <c r="H549">
        <v>4</v>
      </c>
      <c r="I549">
        <v>38</v>
      </c>
      <c r="J549">
        <v>54</v>
      </c>
      <c r="K549">
        <v>10</v>
      </c>
      <c r="L549">
        <v>22</v>
      </c>
      <c r="M549">
        <v>22</v>
      </c>
      <c r="N549" t="s">
        <v>799</v>
      </c>
      <c r="O549" t="s">
        <v>800</v>
      </c>
      <c r="P549" t="s">
        <v>228</v>
      </c>
      <c r="Q549" t="s">
        <v>703</v>
      </c>
      <c r="R549" t="s">
        <v>801</v>
      </c>
      <c r="S549">
        <v>74</v>
      </c>
      <c r="T549">
        <v>14</v>
      </c>
      <c r="U549">
        <f t="shared" si="33"/>
        <v>-0.67487341792325</v>
      </c>
      <c r="V549">
        <f t="shared" si="34"/>
        <v>-81.1731318166045</v>
      </c>
      <c r="W549">
        <f t="shared" si="35"/>
        <v>-674.87341792325</v>
      </c>
      <c r="X549">
        <f t="shared" si="36"/>
        <v>-0.281851152140988</v>
      </c>
      <c r="Y549">
        <v>15</v>
      </c>
    </row>
    <row r="550" spans="1:25">
      <c r="A550" s="1">
        <v>616</v>
      </c>
      <c r="B550" t="s">
        <v>795</v>
      </c>
      <c r="C550" t="s">
        <v>796</v>
      </c>
      <c r="D550" t="s">
        <v>797</v>
      </c>
      <c r="E550" t="s">
        <v>798</v>
      </c>
      <c r="F550" t="s">
        <v>292</v>
      </c>
      <c r="G550">
        <v>15</v>
      </c>
      <c r="H550">
        <v>4</v>
      </c>
      <c r="I550">
        <v>38</v>
      </c>
      <c r="J550">
        <v>45</v>
      </c>
      <c r="K550">
        <v>10</v>
      </c>
      <c r="L550">
        <v>22</v>
      </c>
      <c r="M550">
        <v>22</v>
      </c>
      <c r="N550" t="s">
        <v>799</v>
      </c>
      <c r="O550" t="s">
        <v>30</v>
      </c>
      <c r="P550" t="s">
        <v>228</v>
      </c>
      <c r="Q550" t="s">
        <v>703</v>
      </c>
      <c r="R550" t="s">
        <v>801</v>
      </c>
      <c r="S550">
        <v>84</v>
      </c>
      <c r="T550">
        <v>92</v>
      </c>
      <c r="U550">
        <f t="shared" si="33"/>
        <v>-7.60963378910769</v>
      </c>
      <c r="V550">
        <f t="shared" si="34"/>
        <v>-915.279503140208</v>
      </c>
      <c r="W550">
        <f t="shared" si="35"/>
        <v>-7609.63378910769</v>
      </c>
      <c r="X550">
        <f t="shared" si="36"/>
        <v>-3.17805383034795</v>
      </c>
      <c r="Y550">
        <v>15</v>
      </c>
    </row>
    <row r="551" spans="1:25">
      <c r="A551" s="1">
        <v>617</v>
      </c>
      <c r="B551" t="s">
        <v>795</v>
      </c>
      <c r="C551" t="s">
        <v>796</v>
      </c>
      <c r="D551" t="s">
        <v>797</v>
      </c>
      <c r="E551" t="s">
        <v>798</v>
      </c>
      <c r="F551" t="s">
        <v>292</v>
      </c>
      <c r="G551">
        <v>15</v>
      </c>
      <c r="H551">
        <v>4</v>
      </c>
      <c r="I551">
        <v>38</v>
      </c>
      <c r="J551">
        <v>59</v>
      </c>
      <c r="K551">
        <v>10</v>
      </c>
      <c r="L551">
        <v>22</v>
      </c>
      <c r="M551">
        <v>22</v>
      </c>
      <c r="N551" t="s">
        <v>799</v>
      </c>
      <c r="O551" t="s">
        <v>883</v>
      </c>
      <c r="P551" t="s">
        <v>228</v>
      </c>
      <c r="Q551" t="s">
        <v>703</v>
      </c>
      <c r="R551" t="s">
        <v>801</v>
      </c>
      <c r="S551">
        <v>79</v>
      </c>
      <c r="T551">
        <v>89</v>
      </c>
      <c r="U551">
        <f t="shared" si="33"/>
        <v>-6.80940961492614</v>
      </c>
      <c r="V551">
        <f t="shared" si="34"/>
        <v>-819.029301771246</v>
      </c>
      <c r="W551">
        <f t="shared" si="35"/>
        <v>-6809.40961492614</v>
      </c>
      <c r="X551">
        <f t="shared" si="36"/>
        <v>-2.84385174226127</v>
      </c>
      <c r="Y551">
        <v>15</v>
      </c>
    </row>
    <row r="552" spans="1:25">
      <c r="A552" s="1">
        <v>618</v>
      </c>
      <c r="B552" t="s">
        <v>795</v>
      </c>
      <c r="C552" t="s">
        <v>796</v>
      </c>
      <c r="D552" t="s">
        <v>797</v>
      </c>
      <c r="E552" t="s">
        <v>798</v>
      </c>
      <c r="F552" t="s">
        <v>292</v>
      </c>
      <c r="G552">
        <v>15</v>
      </c>
      <c r="H552">
        <v>4</v>
      </c>
      <c r="I552">
        <v>39</v>
      </c>
      <c r="J552">
        <v>54</v>
      </c>
      <c r="K552">
        <v>10</v>
      </c>
      <c r="L552">
        <v>22</v>
      </c>
      <c r="M552">
        <v>22</v>
      </c>
      <c r="N552" t="s">
        <v>884</v>
      </c>
      <c r="O552" t="s">
        <v>800</v>
      </c>
      <c r="P552" t="s">
        <v>228</v>
      </c>
      <c r="Q552" t="s">
        <v>703</v>
      </c>
      <c r="R552" t="s">
        <v>801</v>
      </c>
      <c r="S552">
        <v>31</v>
      </c>
      <c r="T552">
        <v>79</v>
      </c>
      <c r="U552">
        <f t="shared" si="33"/>
        <v>-5.13094062024792</v>
      </c>
      <c r="V552">
        <f t="shared" si="34"/>
        <v>-617.144650017792</v>
      </c>
      <c r="W552">
        <f t="shared" si="35"/>
        <v>-5130.94062024792</v>
      </c>
      <c r="X552">
        <f t="shared" si="36"/>
        <v>-2.14286336811733</v>
      </c>
      <c r="Y552">
        <v>15</v>
      </c>
    </row>
    <row r="553" spans="1:25">
      <c r="A553" s="1">
        <v>619</v>
      </c>
      <c r="B553" t="s">
        <v>795</v>
      </c>
      <c r="C553" t="s">
        <v>796</v>
      </c>
      <c r="D553" t="s">
        <v>797</v>
      </c>
      <c r="E553" t="s">
        <v>798</v>
      </c>
      <c r="F553" t="s">
        <v>292</v>
      </c>
      <c r="G553">
        <v>15</v>
      </c>
      <c r="H553">
        <v>4</v>
      </c>
      <c r="I553">
        <v>41</v>
      </c>
      <c r="J553">
        <v>54</v>
      </c>
      <c r="K553">
        <v>10</v>
      </c>
      <c r="L553">
        <v>22</v>
      </c>
      <c r="M553">
        <v>22</v>
      </c>
      <c r="N553" t="s">
        <v>885</v>
      </c>
      <c r="O553" t="s">
        <v>800</v>
      </c>
      <c r="P553" t="s">
        <v>228</v>
      </c>
      <c r="Q553" t="s">
        <v>703</v>
      </c>
      <c r="R553" t="s">
        <v>801</v>
      </c>
      <c r="S553">
        <v>87</v>
      </c>
      <c r="T553">
        <v>88</v>
      </c>
      <c r="U553">
        <f t="shared" si="33"/>
        <v>-6.58836420267766</v>
      </c>
      <c r="V553">
        <f t="shared" si="34"/>
        <v>-792.442170156081</v>
      </c>
      <c r="W553">
        <f t="shared" si="35"/>
        <v>-6588.36420267766</v>
      </c>
      <c r="X553">
        <f t="shared" si="36"/>
        <v>-2.75153531304195</v>
      </c>
      <c r="Y553">
        <v>15</v>
      </c>
    </row>
    <row r="554" spans="1:25">
      <c r="A554" s="1">
        <v>620</v>
      </c>
      <c r="B554" t="s">
        <v>795</v>
      </c>
      <c r="C554" t="s">
        <v>796</v>
      </c>
      <c r="D554" t="s">
        <v>797</v>
      </c>
      <c r="E554" t="s">
        <v>798</v>
      </c>
      <c r="F554" t="s">
        <v>292</v>
      </c>
      <c r="G554">
        <v>15</v>
      </c>
      <c r="H554">
        <v>4</v>
      </c>
      <c r="I554">
        <v>40</v>
      </c>
      <c r="J554">
        <v>54</v>
      </c>
      <c r="K554">
        <v>10</v>
      </c>
      <c r="L554">
        <v>22</v>
      </c>
      <c r="M554">
        <v>22</v>
      </c>
      <c r="N554" t="s">
        <v>886</v>
      </c>
      <c r="O554" t="s">
        <v>800</v>
      </c>
      <c r="P554" t="s">
        <v>228</v>
      </c>
      <c r="Q554" t="s">
        <v>703</v>
      </c>
      <c r="R554" t="s">
        <v>801</v>
      </c>
      <c r="S554">
        <v>71</v>
      </c>
      <c r="T554">
        <v>90</v>
      </c>
      <c r="U554">
        <f t="shared" si="33"/>
        <v>-7.05025891376346</v>
      </c>
      <c r="V554">
        <f t="shared" si="34"/>
        <v>-847.998425999935</v>
      </c>
      <c r="W554">
        <f t="shared" si="35"/>
        <v>-7050.25891376346</v>
      </c>
      <c r="X554">
        <f t="shared" si="36"/>
        <v>-2.94443897916644</v>
      </c>
      <c r="Y554">
        <v>15</v>
      </c>
    </row>
    <row r="555" spans="1:25">
      <c r="A555" s="1">
        <v>621</v>
      </c>
      <c r="B555" t="s">
        <v>795</v>
      </c>
      <c r="C555" t="s">
        <v>887</v>
      </c>
      <c r="D555" t="s">
        <v>797</v>
      </c>
      <c r="E555" t="s">
        <v>888</v>
      </c>
      <c r="F555" t="s">
        <v>292</v>
      </c>
      <c r="G555">
        <v>15</v>
      </c>
      <c r="H555">
        <v>4</v>
      </c>
      <c r="I555">
        <v>38</v>
      </c>
      <c r="J555">
        <v>54</v>
      </c>
      <c r="K555">
        <v>10</v>
      </c>
      <c r="L555">
        <v>22</v>
      </c>
      <c r="M555">
        <v>22</v>
      </c>
      <c r="N555" t="s">
        <v>799</v>
      </c>
      <c r="O555" t="s">
        <v>800</v>
      </c>
      <c r="P555" t="s">
        <v>228</v>
      </c>
      <c r="Q555" t="s">
        <v>703</v>
      </c>
      <c r="R555" t="s">
        <v>801</v>
      </c>
      <c r="S555">
        <v>54</v>
      </c>
      <c r="T555">
        <v>40</v>
      </c>
      <c r="U555">
        <f t="shared" si="33"/>
        <v>-2.02879711044265</v>
      </c>
      <c r="V555">
        <f t="shared" si="34"/>
        <v>-244.021783791515</v>
      </c>
      <c r="W555">
        <f t="shared" si="35"/>
        <v>-2028.79711044265</v>
      </c>
      <c r="X555">
        <f t="shared" si="36"/>
        <v>-0.847297860387204</v>
      </c>
      <c r="Y555">
        <v>15</v>
      </c>
    </row>
    <row r="556" spans="1:25">
      <c r="A556" s="1">
        <v>625</v>
      </c>
      <c r="B556" t="s">
        <v>889</v>
      </c>
      <c r="C556" t="s">
        <v>890</v>
      </c>
      <c r="D556" t="s">
        <v>891</v>
      </c>
      <c r="E556" t="s">
        <v>892</v>
      </c>
      <c r="F556" t="s">
        <v>292</v>
      </c>
      <c r="G556">
        <v>10</v>
      </c>
      <c r="H556">
        <v>4</v>
      </c>
      <c r="I556">
        <v>36</v>
      </c>
      <c r="J556">
        <v>55</v>
      </c>
      <c r="K556">
        <v>10</v>
      </c>
      <c r="L556">
        <v>18</v>
      </c>
      <c r="M556">
        <v>25</v>
      </c>
      <c r="N556" t="s">
        <v>802</v>
      </c>
      <c r="O556" t="s">
        <v>893</v>
      </c>
      <c r="P556" t="s">
        <v>228</v>
      </c>
      <c r="Q556" t="s">
        <v>894</v>
      </c>
      <c r="R556" t="s">
        <v>895</v>
      </c>
      <c r="S556">
        <v>85</v>
      </c>
      <c r="T556">
        <v>94</v>
      </c>
      <c r="U556">
        <f t="shared" si="33"/>
        <v>-8.1787805155632</v>
      </c>
      <c r="V556">
        <f t="shared" si="34"/>
        <v>-983.735929223383</v>
      </c>
      <c r="W556">
        <f t="shared" si="35"/>
        <v>-8178.7805155632</v>
      </c>
      <c r="X556">
        <f t="shared" si="36"/>
        <v>-3.47609868983527</v>
      </c>
      <c r="Y556">
        <v>10</v>
      </c>
    </row>
    <row r="557" spans="1:25">
      <c r="A557" s="1">
        <v>626</v>
      </c>
      <c r="B557" t="s">
        <v>889</v>
      </c>
      <c r="C557" t="s">
        <v>890</v>
      </c>
      <c r="D557" t="s">
        <v>891</v>
      </c>
      <c r="E557" t="s">
        <v>892</v>
      </c>
      <c r="F557" t="s">
        <v>292</v>
      </c>
      <c r="G557">
        <v>25</v>
      </c>
      <c r="H557">
        <v>4</v>
      </c>
      <c r="I557">
        <v>36</v>
      </c>
      <c r="J557">
        <v>55</v>
      </c>
      <c r="K557">
        <v>10</v>
      </c>
      <c r="L557">
        <v>18</v>
      </c>
      <c r="M557">
        <v>25</v>
      </c>
      <c r="N557" t="s">
        <v>802</v>
      </c>
      <c r="O557" t="s">
        <v>893</v>
      </c>
      <c r="P557" t="s">
        <v>228</v>
      </c>
      <c r="Q557" t="s">
        <v>894</v>
      </c>
      <c r="R557" t="s">
        <v>895</v>
      </c>
      <c r="S557">
        <v>83</v>
      </c>
      <c r="T557">
        <v>90</v>
      </c>
      <c r="U557">
        <f t="shared" si="33"/>
        <v>-7.29505957049136</v>
      </c>
      <c r="V557">
        <f t="shared" si="34"/>
        <v>-877.442815791599</v>
      </c>
      <c r="W557">
        <f t="shared" si="35"/>
        <v>-7295.05957049136</v>
      </c>
      <c r="X557">
        <f t="shared" si="36"/>
        <v>-2.94443897916644</v>
      </c>
      <c r="Y557">
        <v>25</v>
      </c>
    </row>
    <row r="558" spans="1:25">
      <c r="A558" s="1">
        <v>628</v>
      </c>
      <c r="B558" t="s">
        <v>889</v>
      </c>
      <c r="C558" t="s">
        <v>890</v>
      </c>
      <c r="D558" t="s">
        <v>891</v>
      </c>
      <c r="E558" t="s">
        <v>892</v>
      </c>
      <c r="F558" t="s">
        <v>292</v>
      </c>
      <c r="G558">
        <v>10</v>
      </c>
      <c r="H558">
        <v>4</v>
      </c>
      <c r="I558">
        <v>34</v>
      </c>
      <c r="J558">
        <v>55</v>
      </c>
      <c r="K558">
        <v>10</v>
      </c>
      <c r="L558">
        <v>18</v>
      </c>
      <c r="M558">
        <v>25</v>
      </c>
      <c r="N558" t="s">
        <v>896</v>
      </c>
      <c r="O558" t="s">
        <v>893</v>
      </c>
      <c r="P558" t="s">
        <v>228</v>
      </c>
      <c r="Q558" t="s">
        <v>894</v>
      </c>
      <c r="R558" t="s">
        <v>895</v>
      </c>
      <c r="S558">
        <v>14</v>
      </c>
      <c r="T558">
        <v>93</v>
      </c>
      <c r="U558">
        <f t="shared" si="33"/>
        <v>-7.80392571812055</v>
      </c>
      <c r="V558">
        <f t="shared" si="34"/>
        <v>-938.648751277429</v>
      </c>
      <c r="W558">
        <f t="shared" si="35"/>
        <v>-7803.92571812055</v>
      </c>
      <c r="X558">
        <f t="shared" si="36"/>
        <v>-3.31678003984957</v>
      </c>
      <c r="Y558">
        <v>10</v>
      </c>
    </row>
    <row r="559" spans="1:25">
      <c r="A559" s="1">
        <v>630</v>
      </c>
      <c r="B559" t="s">
        <v>889</v>
      </c>
      <c r="C559" t="s">
        <v>890</v>
      </c>
      <c r="D559" t="s">
        <v>891</v>
      </c>
      <c r="E559" t="s">
        <v>892</v>
      </c>
      <c r="F559" t="s">
        <v>292</v>
      </c>
      <c r="G559">
        <v>10</v>
      </c>
      <c r="H559">
        <v>4</v>
      </c>
      <c r="I559">
        <v>36</v>
      </c>
      <c r="J559">
        <v>54</v>
      </c>
      <c r="K559">
        <v>10</v>
      </c>
      <c r="L559">
        <v>18</v>
      </c>
      <c r="M559">
        <v>25</v>
      </c>
      <c r="N559" t="s">
        <v>802</v>
      </c>
      <c r="O559" t="s">
        <v>800</v>
      </c>
      <c r="P559" t="s">
        <v>228</v>
      </c>
      <c r="Q559" t="s">
        <v>894</v>
      </c>
      <c r="R559" t="s">
        <v>895</v>
      </c>
      <c r="S559">
        <v>54</v>
      </c>
      <c r="T559">
        <v>93</v>
      </c>
      <c r="U559">
        <f t="shared" si="33"/>
        <v>-7.80392571812055</v>
      </c>
      <c r="V559">
        <f t="shared" si="34"/>
        <v>-938.648751277429</v>
      </c>
      <c r="W559">
        <f t="shared" si="35"/>
        <v>-7803.92571812055</v>
      </c>
      <c r="X559">
        <f t="shared" si="36"/>
        <v>-3.31678003984957</v>
      </c>
      <c r="Y559">
        <v>10</v>
      </c>
    </row>
    <row r="560" spans="1:25">
      <c r="A560" s="1">
        <v>631</v>
      </c>
      <c r="B560" t="s">
        <v>897</v>
      </c>
      <c r="C560" t="s">
        <v>890</v>
      </c>
      <c r="D560" t="s">
        <v>891</v>
      </c>
      <c r="E560" t="s">
        <v>892</v>
      </c>
      <c r="F560" t="s">
        <v>292</v>
      </c>
      <c r="G560">
        <v>10</v>
      </c>
      <c r="H560">
        <v>4</v>
      </c>
      <c r="I560">
        <v>36</v>
      </c>
      <c r="J560">
        <v>55</v>
      </c>
      <c r="K560">
        <v>10</v>
      </c>
      <c r="L560">
        <v>18</v>
      </c>
      <c r="M560">
        <v>25</v>
      </c>
      <c r="N560" t="s">
        <v>802</v>
      </c>
      <c r="O560" t="s">
        <v>893</v>
      </c>
      <c r="P560" t="s">
        <v>228</v>
      </c>
      <c r="Q560" t="s">
        <v>894</v>
      </c>
      <c r="R560" t="s">
        <v>895</v>
      </c>
      <c r="S560">
        <v>69</v>
      </c>
      <c r="T560">
        <v>93</v>
      </c>
      <c r="U560">
        <f t="shared" si="33"/>
        <v>-7.80392571812055</v>
      </c>
      <c r="V560">
        <f t="shared" si="34"/>
        <v>-938.648751277429</v>
      </c>
      <c r="W560">
        <f t="shared" si="35"/>
        <v>-7803.92571812055</v>
      </c>
      <c r="X560">
        <f t="shared" si="36"/>
        <v>-3.31678003984957</v>
      </c>
      <c r="Y560">
        <v>10</v>
      </c>
    </row>
    <row r="561" spans="1:25">
      <c r="A561" s="1">
        <v>632</v>
      </c>
      <c r="B561" t="s">
        <v>898</v>
      </c>
      <c r="C561" t="s">
        <v>890</v>
      </c>
      <c r="D561" t="s">
        <v>891</v>
      </c>
      <c r="E561" t="s">
        <v>892</v>
      </c>
      <c r="F561" t="s">
        <v>292</v>
      </c>
      <c r="G561">
        <v>10</v>
      </c>
      <c r="H561">
        <v>4</v>
      </c>
      <c r="I561">
        <v>36</v>
      </c>
      <c r="J561">
        <v>55</v>
      </c>
      <c r="K561">
        <v>10</v>
      </c>
      <c r="L561">
        <v>18</v>
      </c>
      <c r="M561">
        <v>25</v>
      </c>
      <c r="N561" t="s">
        <v>802</v>
      </c>
      <c r="O561" t="s">
        <v>893</v>
      </c>
      <c r="P561" t="s">
        <v>228</v>
      </c>
      <c r="Q561" t="s">
        <v>894</v>
      </c>
      <c r="R561" t="s">
        <v>895</v>
      </c>
      <c r="S561">
        <v>73</v>
      </c>
      <c r="T561">
        <v>94</v>
      </c>
      <c r="U561">
        <f t="shared" si="33"/>
        <v>-8.1787805155632</v>
      </c>
      <c r="V561">
        <f t="shared" si="34"/>
        <v>-983.735929223383</v>
      </c>
      <c r="W561">
        <f t="shared" si="35"/>
        <v>-8178.7805155632</v>
      </c>
      <c r="X561">
        <f t="shared" si="36"/>
        <v>-3.47609868983527</v>
      </c>
      <c r="Y561">
        <v>10</v>
      </c>
    </row>
    <row r="562" spans="1:25">
      <c r="A562" s="1">
        <v>633</v>
      </c>
      <c r="B562" t="s">
        <v>899</v>
      </c>
      <c r="C562" t="s">
        <v>890</v>
      </c>
      <c r="D562" t="s">
        <v>891</v>
      </c>
      <c r="E562" t="s">
        <v>892</v>
      </c>
      <c r="F562" t="s">
        <v>292</v>
      </c>
      <c r="G562">
        <v>10</v>
      </c>
      <c r="H562">
        <v>4</v>
      </c>
      <c r="I562">
        <v>36</v>
      </c>
      <c r="J562">
        <v>55</v>
      </c>
      <c r="K562">
        <v>10</v>
      </c>
      <c r="L562">
        <v>18</v>
      </c>
      <c r="M562">
        <v>25</v>
      </c>
      <c r="N562" t="s">
        <v>802</v>
      </c>
      <c r="O562" t="s">
        <v>893</v>
      </c>
      <c r="P562" t="s">
        <v>228</v>
      </c>
      <c r="Q562" t="s">
        <v>894</v>
      </c>
      <c r="R562" t="s">
        <v>895</v>
      </c>
      <c r="S562">
        <v>89</v>
      </c>
      <c r="T562">
        <v>42</v>
      </c>
      <c r="U562">
        <f t="shared" si="33"/>
        <v>-2.10671509972155</v>
      </c>
      <c r="V562">
        <f t="shared" si="34"/>
        <v>-253.39368531652</v>
      </c>
      <c r="W562">
        <f t="shared" si="35"/>
        <v>-2106.71509972155</v>
      </c>
      <c r="X562">
        <f t="shared" si="36"/>
        <v>-0.895384047054841</v>
      </c>
      <c r="Y562">
        <v>10</v>
      </c>
    </row>
    <row r="563" spans="1:25">
      <c r="A563" s="1">
        <v>634</v>
      </c>
      <c r="B563" t="s">
        <v>900</v>
      </c>
      <c r="C563" t="s">
        <v>890</v>
      </c>
      <c r="D563" t="s">
        <v>891</v>
      </c>
      <c r="E563" t="s">
        <v>892</v>
      </c>
      <c r="F563" t="s">
        <v>292</v>
      </c>
      <c r="G563">
        <v>10</v>
      </c>
      <c r="H563">
        <v>4</v>
      </c>
      <c r="I563">
        <v>36</v>
      </c>
      <c r="J563">
        <v>55</v>
      </c>
      <c r="K563">
        <v>10</v>
      </c>
      <c r="L563">
        <v>18</v>
      </c>
      <c r="M563">
        <v>25</v>
      </c>
      <c r="N563" t="s">
        <v>802</v>
      </c>
      <c r="O563" t="s">
        <v>893</v>
      </c>
      <c r="P563" t="s">
        <v>228</v>
      </c>
      <c r="Q563" t="s">
        <v>894</v>
      </c>
      <c r="R563" t="s">
        <v>895</v>
      </c>
      <c r="S563">
        <v>87</v>
      </c>
      <c r="T563">
        <v>62</v>
      </c>
      <c r="U563">
        <f t="shared" si="33"/>
        <v>-3.41167384156139</v>
      </c>
      <c r="V563">
        <f t="shared" si="34"/>
        <v>-410.352879668198</v>
      </c>
      <c r="W563">
        <f t="shared" si="35"/>
        <v>-3411.67384156139</v>
      </c>
      <c r="X563">
        <f t="shared" si="36"/>
        <v>-1.450010175506</v>
      </c>
      <c r="Y563">
        <v>10</v>
      </c>
    </row>
    <row r="564" spans="1:25">
      <c r="A564" s="1">
        <v>635</v>
      </c>
      <c r="B564" t="s">
        <v>901</v>
      </c>
      <c r="C564" t="s">
        <v>890</v>
      </c>
      <c r="D564" t="s">
        <v>891</v>
      </c>
      <c r="E564" t="s">
        <v>892</v>
      </c>
      <c r="F564" t="s">
        <v>292</v>
      </c>
      <c r="G564">
        <v>10</v>
      </c>
      <c r="H564">
        <v>4</v>
      </c>
      <c r="I564">
        <v>36</v>
      </c>
      <c r="J564">
        <v>55</v>
      </c>
      <c r="K564">
        <v>10</v>
      </c>
      <c r="L564">
        <v>18</v>
      </c>
      <c r="M564">
        <v>25</v>
      </c>
      <c r="N564" t="s">
        <v>802</v>
      </c>
      <c r="O564" t="s">
        <v>893</v>
      </c>
      <c r="P564" t="s">
        <v>228</v>
      </c>
      <c r="Q564" t="s">
        <v>894</v>
      </c>
      <c r="R564" t="s">
        <v>895</v>
      </c>
      <c r="S564">
        <v>45</v>
      </c>
      <c r="T564">
        <v>29</v>
      </c>
      <c r="U564">
        <f t="shared" si="33"/>
        <v>-1.40497043249603</v>
      </c>
      <c r="V564">
        <f t="shared" si="34"/>
        <v>-168.988505231661</v>
      </c>
      <c r="W564">
        <f t="shared" si="35"/>
        <v>-1404.97043249603</v>
      </c>
      <c r="X564">
        <f t="shared" si="36"/>
        <v>-0.597132527320357</v>
      </c>
      <c r="Y564">
        <v>10</v>
      </c>
    </row>
    <row r="565" spans="1:25">
      <c r="A565" s="1">
        <v>636</v>
      </c>
      <c r="B565" t="s">
        <v>889</v>
      </c>
      <c r="C565" t="s">
        <v>902</v>
      </c>
      <c r="D565" t="s">
        <v>903</v>
      </c>
      <c r="E565" t="s">
        <v>892</v>
      </c>
      <c r="F565" t="s">
        <v>292</v>
      </c>
      <c r="G565">
        <v>10</v>
      </c>
      <c r="H565">
        <v>4</v>
      </c>
      <c r="I565">
        <v>36</v>
      </c>
      <c r="J565">
        <v>55</v>
      </c>
      <c r="K565">
        <v>10</v>
      </c>
      <c r="L565">
        <v>18</v>
      </c>
      <c r="M565">
        <v>25</v>
      </c>
      <c r="N565" t="s">
        <v>802</v>
      </c>
      <c r="O565" t="s">
        <v>893</v>
      </c>
      <c r="P565" t="s">
        <v>228</v>
      </c>
      <c r="Q565" t="s">
        <v>894</v>
      </c>
      <c r="R565" t="s">
        <v>895</v>
      </c>
      <c r="S565">
        <v>88</v>
      </c>
      <c r="T565">
        <v>95</v>
      </c>
      <c r="U565">
        <f t="shared" si="33"/>
        <v>-8.61985498183589</v>
      </c>
      <c r="V565">
        <f t="shared" si="34"/>
        <v>-1036.78794585469</v>
      </c>
      <c r="W565">
        <f t="shared" si="35"/>
        <v>-8619.85498183589</v>
      </c>
      <c r="X565">
        <f t="shared" si="36"/>
        <v>-3.66356164612965</v>
      </c>
      <c r="Y565">
        <v>10</v>
      </c>
    </row>
    <row r="566" spans="1:25">
      <c r="A566" s="1">
        <v>637</v>
      </c>
      <c r="B566" t="s">
        <v>889</v>
      </c>
      <c r="C566" t="s">
        <v>904</v>
      </c>
      <c r="D566" t="s">
        <v>905</v>
      </c>
      <c r="E566" t="s">
        <v>892</v>
      </c>
      <c r="F566" t="s">
        <v>292</v>
      </c>
      <c r="G566">
        <v>10</v>
      </c>
      <c r="H566">
        <v>4</v>
      </c>
      <c r="I566">
        <v>36</v>
      </c>
      <c r="J566">
        <v>55</v>
      </c>
      <c r="K566">
        <v>10</v>
      </c>
      <c r="L566">
        <v>18</v>
      </c>
      <c r="M566">
        <v>25</v>
      </c>
      <c r="N566" t="s">
        <v>802</v>
      </c>
      <c r="O566" t="s">
        <v>893</v>
      </c>
      <c r="P566" t="s">
        <v>228</v>
      </c>
      <c r="Q566" t="s">
        <v>894</v>
      </c>
      <c r="R566" t="s">
        <v>895</v>
      </c>
      <c r="S566">
        <v>88</v>
      </c>
      <c r="T566">
        <v>94</v>
      </c>
      <c r="U566">
        <f t="shared" si="33"/>
        <v>-8.1787805155632</v>
      </c>
      <c r="V566">
        <f t="shared" si="34"/>
        <v>-983.735929223383</v>
      </c>
      <c r="W566">
        <f t="shared" si="35"/>
        <v>-8178.7805155632</v>
      </c>
      <c r="X566">
        <f t="shared" si="36"/>
        <v>-3.47609868983527</v>
      </c>
      <c r="Y566">
        <v>10</v>
      </c>
    </row>
    <row r="567" spans="1:25">
      <c r="A567" s="1">
        <v>638</v>
      </c>
      <c r="B567" t="s">
        <v>889</v>
      </c>
      <c r="C567" t="s">
        <v>906</v>
      </c>
      <c r="D567" t="s">
        <v>907</v>
      </c>
      <c r="E567" t="s">
        <v>892</v>
      </c>
      <c r="F567" t="s">
        <v>292</v>
      </c>
      <c r="G567">
        <v>10</v>
      </c>
      <c r="H567">
        <v>4</v>
      </c>
      <c r="I567">
        <v>36</v>
      </c>
      <c r="J567">
        <v>55</v>
      </c>
      <c r="K567">
        <v>10</v>
      </c>
      <c r="L567">
        <v>18</v>
      </c>
      <c r="M567">
        <v>25</v>
      </c>
      <c r="N567" t="s">
        <v>802</v>
      </c>
      <c r="O567" t="s">
        <v>893</v>
      </c>
      <c r="P567" t="s">
        <v>228</v>
      </c>
      <c r="Q567" t="s">
        <v>894</v>
      </c>
      <c r="R567" t="s">
        <v>895</v>
      </c>
      <c r="S567">
        <v>86</v>
      </c>
      <c r="T567">
        <v>94</v>
      </c>
      <c r="U567">
        <f t="shared" si="33"/>
        <v>-8.1787805155632</v>
      </c>
      <c r="V567">
        <f t="shared" si="34"/>
        <v>-983.735929223383</v>
      </c>
      <c r="W567">
        <f t="shared" si="35"/>
        <v>-8178.7805155632</v>
      </c>
      <c r="X567">
        <f t="shared" si="36"/>
        <v>-3.47609868983527</v>
      </c>
      <c r="Y567">
        <v>10</v>
      </c>
    </row>
    <row r="568" spans="1:25">
      <c r="A568" s="1">
        <v>639</v>
      </c>
      <c r="B568" t="s">
        <v>889</v>
      </c>
      <c r="C568" t="s">
        <v>908</v>
      </c>
      <c r="D568" t="s">
        <v>909</v>
      </c>
      <c r="E568" t="s">
        <v>892</v>
      </c>
      <c r="F568" t="s">
        <v>292</v>
      </c>
      <c r="G568">
        <v>10</v>
      </c>
      <c r="H568">
        <v>4</v>
      </c>
      <c r="I568">
        <v>36</v>
      </c>
      <c r="J568">
        <v>55</v>
      </c>
      <c r="K568">
        <v>10</v>
      </c>
      <c r="L568">
        <v>18</v>
      </c>
      <c r="M568">
        <v>25</v>
      </c>
      <c r="N568" t="s">
        <v>802</v>
      </c>
      <c r="O568" t="s">
        <v>893</v>
      </c>
      <c r="P568" t="s">
        <v>228</v>
      </c>
      <c r="Q568" t="s">
        <v>894</v>
      </c>
      <c r="R568" t="s">
        <v>895</v>
      </c>
      <c r="S568">
        <v>81</v>
      </c>
      <c r="T568">
        <v>95</v>
      </c>
      <c r="U568">
        <f t="shared" si="33"/>
        <v>-8.61985498183589</v>
      </c>
      <c r="V568">
        <f t="shared" si="34"/>
        <v>-1036.78794585469</v>
      </c>
      <c r="W568">
        <f t="shared" si="35"/>
        <v>-8619.85498183589</v>
      </c>
      <c r="X568">
        <f t="shared" si="36"/>
        <v>-3.66356164612965</v>
      </c>
      <c r="Y568">
        <v>10</v>
      </c>
    </row>
    <row r="569" spans="1:25">
      <c r="A569" s="1">
        <v>640</v>
      </c>
      <c r="B569" t="s">
        <v>889</v>
      </c>
      <c r="C569" t="s">
        <v>910</v>
      </c>
      <c r="D569" t="s">
        <v>891</v>
      </c>
      <c r="E569" t="s">
        <v>892</v>
      </c>
      <c r="F569" t="s">
        <v>292</v>
      </c>
      <c r="G569">
        <v>10</v>
      </c>
      <c r="H569">
        <v>4</v>
      </c>
      <c r="I569">
        <v>36</v>
      </c>
      <c r="J569">
        <v>55</v>
      </c>
      <c r="K569">
        <v>10</v>
      </c>
      <c r="L569">
        <v>18</v>
      </c>
      <c r="M569">
        <v>25</v>
      </c>
      <c r="N569" t="s">
        <v>802</v>
      </c>
      <c r="O569" t="s">
        <v>893</v>
      </c>
      <c r="P569" t="s">
        <v>228</v>
      </c>
      <c r="Q569" t="s">
        <v>894</v>
      </c>
      <c r="R569" t="s">
        <v>895</v>
      </c>
      <c r="S569">
        <v>82</v>
      </c>
      <c r="T569">
        <v>94</v>
      </c>
      <c r="U569">
        <f t="shared" si="33"/>
        <v>-8.1787805155632</v>
      </c>
      <c r="V569">
        <f t="shared" si="34"/>
        <v>-983.735929223383</v>
      </c>
      <c r="W569">
        <f t="shared" si="35"/>
        <v>-8178.7805155632</v>
      </c>
      <c r="X569">
        <f t="shared" si="36"/>
        <v>-3.47609868983527</v>
      </c>
      <c r="Y569">
        <v>10</v>
      </c>
    </row>
    <row r="570" spans="1:25">
      <c r="A570" s="1">
        <v>641</v>
      </c>
      <c r="B570" t="s">
        <v>889</v>
      </c>
      <c r="C570" t="s">
        <v>911</v>
      </c>
      <c r="D570" t="s">
        <v>912</v>
      </c>
      <c r="E570" t="s">
        <v>892</v>
      </c>
      <c r="F570" t="s">
        <v>292</v>
      </c>
      <c r="G570">
        <v>10</v>
      </c>
      <c r="H570">
        <v>4</v>
      </c>
      <c r="I570">
        <v>36</v>
      </c>
      <c r="J570">
        <v>55</v>
      </c>
      <c r="K570">
        <v>10</v>
      </c>
      <c r="L570">
        <v>18</v>
      </c>
      <c r="M570">
        <v>25</v>
      </c>
      <c r="N570" t="s">
        <v>802</v>
      </c>
      <c r="O570" t="s">
        <v>893</v>
      </c>
      <c r="P570" t="s">
        <v>228</v>
      </c>
      <c r="Q570" t="s">
        <v>894</v>
      </c>
      <c r="R570" t="s">
        <v>895</v>
      </c>
      <c r="S570">
        <v>52</v>
      </c>
      <c r="T570">
        <v>93</v>
      </c>
      <c r="U570">
        <f t="shared" si="33"/>
        <v>-7.80392571812055</v>
      </c>
      <c r="V570">
        <f t="shared" si="34"/>
        <v>-938.648751277429</v>
      </c>
      <c r="W570">
        <f t="shared" si="35"/>
        <v>-7803.92571812055</v>
      </c>
      <c r="X570">
        <f t="shared" ref="X570:X632" si="37">-LN((1+T570*0.01)/(1-T570*0.01))</f>
        <v>-3.31678003984957</v>
      </c>
      <c r="Y570">
        <v>10</v>
      </c>
    </row>
    <row r="571" spans="1:25">
      <c r="A571" s="1">
        <v>642</v>
      </c>
      <c r="B571" t="s">
        <v>889</v>
      </c>
      <c r="C571" t="s">
        <v>913</v>
      </c>
      <c r="D571" t="s">
        <v>914</v>
      </c>
      <c r="E571" t="s">
        <v>892</v>
      </c>
      <c r="F571" t="s">
        <v>292</v>
      </c>
      <c r="G571">
        <v>10</v>
      </c>
      <c r="H571">
        <v>4</v>
      </c>
      <c r="I571">
        <v>36</v>
      </c>
      <c r="J571">
        <v>55</v>
      </c>
      <c r="K571">
        <v>10</v>
      </c>
      <c r="L571">
        <v>18</v>
      </c>
      <c r="M571">
        <v>25</v>
      </c>
      <c r="N571" t="s">
        <v>802</v>
      </c>
      <c r="O571" t="s">
        <v>893</v>
      </c>
      <c r="P571" t="s">
        <v>228</v>
      </c>
      <c r="Q571" t="s">
        <v>894</v>
      </c>
      <c r="R571" t="s">
        <v>895</v>
      </c>
      <c r="S571">
        <v>87</v>
      </c>
      <c r="T571">
        <v>93</v>
      </c>
      <c r="U571">
        <f t="shared" si="33"/>
        <v>-7.80392571812055</v>
      </c>
      <c r="V571">
        <f t="shared" si="34"/>
        <v>-938.648751277429</v>
      </c>
      <c r="W571">
        <f t="shared" si="35"/>
        <v>-7803.92571812055</v>
      </c>
      <c r="X571">
        <f t="shared" si="37"/>
        <v>-3.31678003984957</v>
      </c>
      <c r="Y571">
        <v>10</v>
      </c>
    </row>
    <row r="572" spans="1:25">
      <c r="A572" s="1">
        <v>643</v>
      </c>
      <c r="B572" t="s">
        <v>889</v>
      </c>
      <c r="C572" t="s">
        <v>915</v>
      </c>
      <c r="D572" t="s">
        <v>916</v>
      </c>
      <c r="E572" t="s">
        <v>892</v>
      </c>
      <c r="F572" t="s">
        <v>292</v>
      </c>
      <c r="G572">
        <v>10</v>
      </c>
      <c r="H572">
        <v>4</v>
      </c>
      <c r="I572">
        <v>36</v>
      </c>
      <c r="J572">
        <v>55</v>
      </c>
      <c r="K572">
        <v>10</v>
      </c>
      <c r="L572">
        <v>18</v>
      </c>
      <c r="M572">
        <v>25</v>
      </c>
      <c r="N572" t="s">
        <v>802</v>
      </c>
      <c r="O572" t="s">
        <v>893</v>
      </c>
      <c r="P572" t="s">
        <v>228</v>
      </c>
      <c r="Q572" t="s">
        <v>894</v>
      </c>
      <c r="R572" t="s">
        <v>895</v>
      </c>
      <c r="S572">
        <v>89</v>
      </c>
      <c r="T572">
        <v>93</v>
      </c>
      <c r="U572">
        <f t="shared" si="33"/>
        <v>-7.80392571812055</v>
      </c>
      <c r="V572">
        <f t="shared" si="34"/>
        <v>-938.648751277429</v>
      </c>
      <c r="W572">
        <f t="shared" si="35"/>
        <v>-7803.92571812055</v>
      </c>
      <c r="X572">
        <f t="shared" si="37"/>
        <v>-3.31678003984957</v>
      </c>
      <c r="Y572">
        <v>10</v>
      </c>
    </row>
    <row r="573" spans="1:25">
      <c r="A573" s="1">
        <v>644</v>
      </c>
      <c r="B573" t="s">
        <v>889</v>
      </c>
      <c r="C573" t="s">
        <v>917</v>
      </c>
      <c r="D573" t="s">
        <v>918</v>
      </c>
      <c r="E573" t="s">
        <v>892</v>
      </c>
      <c r="F573" t="s">
        <v>292</v>
      </c>
      <c r="G573">
        <v>10</v>
      </c>
      <c r="H573">
        <v>4</v>
      </c>
      <c r="I573">
        <v>36</v>
      </c>
      <c r="J573">
        <v>55</v>
      </c>
      <c r="K573">
        <v>10</v>
      </c>
      <c r="L573">
        <v>18</v>
      </c>
      <c r="M573">
        <v>25</v>
      </c>
      <c r="N573" t="s">
        <v>802</v>
      </c>
      <c r="O573" t="s">
        <v>893</v>
      </c>
      <c r="P573" t="s">
        <v>228</v>
      </c>
      <c r="Q573" t="s">
        <v>894</v>
      </c>
      <c r="R573" t="s">
        <v>895</v>
      </c>
      <c r="S573">
        <v>75</v>
      </c>
      <c r="T573">
        <v>96</v>
      </c>
      <c r="U573">
        <f t="shared" si="33"/>
        <v>-9.15691609025316</v>
      </c>
      <c r="V573">
        <f t="shared" si="34"/>
        <v>-1101.38514436531</v>
      </c>
      <c r="W573">
        <f t="shared" si="35"/>
        <v>-9156.91609025316</v>
      </c>
      <c r="X573">
        <f t="shared" si="37"/>
        <v>-3.89182029811063</v>
      </c>
      <c r="Y573">
        <v>10</v>
      </c>
    </row>
    <row r="574" spans="1:25">
      <c r="A574" s="1">
        <v>645</v>
      </c>
      <c r="B574" t="s">
        <v>889</v>
      </c>
      <c r="C574" t="s">
        <v>919</v>
      </c>
      <c r="D574" t="s">
        <v>920</v>
      </c>
      <c r="E574" t="s">
        <v>892</v>
      </c>
      <c r="F574" t="s">
        <v>292</v>
      </c>
      <c r="G574">
        <v>10</v>
      </c>
      <c r="H574">
        <v>4</v>
      </c>
      <c r="I574">
        <v>36</v>
      </c>
      <c r="J574">
        <v>55</v>
      </c>
      <c r="K574">
        <v>10</v>
      </c>
      <c r="L574">
        <v>18</v>
      </c>
      <c r="M574">
        <v>25</v>
      </c>
      <c r="N574" t="s">
        <v>802</v>
      </c>
      <c r="O574" t="s">
        <v>893</v>
      </c>
      <c r="P574" t="s">
        <v>228</v>
      </c>
      <c r="Q574" t="s">
        <v>894</v>
      </c>
      <c r="R574" t="s">
        <v>895</v>
      </c>
      <c r="S574">
        <v>85</v>
      </c>
      <c r="T574">
        <v>94</v>
      </c>
      <c r="U574">
        <f t="shared" si="33"/>
        <v>-8.1787805155632</v>
      </c>
      <c r="V574">
        <f t="shared" si="34"/>
        <v>-983.735929223383</v>
      </c>
      <c r="W574">
        <f t="shared" si="35"/>
        <v>-8178.7805155632</v>
      </c>
      <c r="X574">
        <f t="shared" si="37"/>
        <v>-3.47609868983527</v>
      </c>
      <c r="Y574">
        <v>10</v>
      </c>
    </row>
    <row r="575" spans="1:25">
      <c r="A575" s="1">
        <v>646</v>
      </c>
      <c r="B575" t="s">
        <v>889</v>
      </c>
      <c r="C575" t="s">
        <v>921</v>
      </c>
      <c r="D575" t="s">
        <v>922</v>
      </c>
      <c r="E575" t="s">
        <v>892</v>
      </c>
      <c r="F575" t="s">
        <v>292</v>
      </c>
      <c r="G575">
        <v>10</v>
      </c>
      <c r="H575">
        <v>4</v>
      </c>
      <c r="I575">
        <v>36</v>
      </c>
      <c r="J575">
        <v>55</v>
      </c>
      <c r="K575">
        <v>10</v>
      </c>
      <c r="L575">
        <v>18</v>
      </c>
      <c r="M575">
        <v>25</v>
      </c>
      <c r="N575" t="s">
        <v>802</v>
      </c>
      <c r="O575" t="s">
        <v>893</v>
      </c>
      <c r="P575" t="s">
        <v>228</v>
      </c>
      <c r="Q575" t="s">
        <v>894</v>
      </c>
      <c r="R575" t="s">
        <v>895</v>
      </c>
      <c r="S575">
        <v>89</v>
      </c>
      <c r="T575">
        <v>94</v>
      </c>
      <c r="U575">
        <f t="shared" si="33"/>
        <v>-8.1787805155632</v>
      </c>
      <c r="V575">
        <f t="shared" si="34"/>
        <v>-983.735929223383</v>
      </c>
      <c r="W575">
        <f t="shared" si="35"/>
        <v>-8178.7805155632</v>
      </c>
      <c r="X575">
        <f t="shared" si="37"/>
        <v>-3.47609868983527</v>
      </c>
      <c r="Y575">
        <v>10</v>
      </c>
    </row>
    <row r="576" spans="1:25">
      <c r="A576" s="1">
        <v>647</v>
      </c>
      <c r="B576" t="s">
        <v>889</v>
      </c>
      <c r="C576" t="s">
        <v>923</v>
      </c>
      <c r="D576" t="s">
        <v>924</v>
      </c>
      <c r="E576" t="s">
        <v>892</v>
      </c>
      <c r="F576" t="s">
        <v>292</v>
      </c>
      <c r="G576">
        <v>10</v>
      </c>
      <c r="H576">
        <v>4</v>
      </c>
      <c r="I576">
        <v>36</v>
      </c>
      <c r="J576">
        <v>55</v>
      </c>
      <c r="K576">
        <v>10</v>
      </c>
      <c r="L576">
        <v>18</v>
      </c>
      <c r="M576">
        <v>25</v>
      </c>
      <c r="N576" t="s">
        <v>802</v>
      </c>
      <c r="O576" t="s">
        <v>893</v>
      </c>
      <c r="P576" t="s">
        <v>228</v>
      </c>
      <c r="Q576" t="s">
        <v>894</v>
      </c>
      <c r="R576" t="s">
        <v>895</v>
      </c>
      <c r="S576">
        <v>91</v>
      </c>
      <c r="T576">
        <v>93</v>
      </c>
      <c r="U576">
        <f t="shared" si="33"/>
        <v>-7.80392571812055</v>
      </c>
      <c r="V576">
        <f t="shared" si="34"/>
        <v>-938.648751277429</v>
      </c>
      <c r="W576">
        <f t="shared" si="35"/>
        <v>-7803.92571812055</v>
      </c>
      <c r="X576">
        <f t="shared" si="37"/>
        <v>-3.31678003984957</v>
      </c>
      <c r="Y576">
        <v>10</v>
      </c>
    </row>
    <row r="577" spans="1:25">
      <c r="A577" s="1">
        <v>648</v>
      </c>
      <c r="B577" t="s">
        <v>889</v>
      </c>
      <c r="C577" t="s">
        <v>925</v>
      </c>
      <c r="D577" t="s">
        <v>926</v>
      </c>
      <c r="E577" t="s">
        <v>892</v>
      </c>
      <c r="F577" t="s">
        <v>292</v>
      </c>
      <c r="G577">
        <v>10</v>
      </c>
      <c r="H577">
        <v>4</v>
      </c>
      <c r="I577">
        <v>36</v>
      </c>
      <c r="J577">
        <v>55</v>
      </c>
      <c r="K577">
        <v>10</v>
      </c>
      <c r="L577">
        <v>18</v>
      </c>
      <c r="M577">
        <v>25</v>
      </c>
      <c r="N577" t="s">
        <v>802</v>
      </c>
      <c r="O577" t="s">
        <v>893</v>
      </c>
      <c r="P577" t="s">
        <v>228</v>
      </c>
      <c r="Q577" t="s">
        <v>894</v>
      </c>
      <c r="R577" t="s">
        <v>895</v>
      </c>
      <c r="S577">
        <v>79</v>
      </c>
      <c r="T577">
        <v>95</v>
      </c>
      <c r="U577">
        <f t="shared" si="33"/>
        <v>-8.61985498183589</v>
      </c>
      <c r="V577">
        <f t="shared" si="34"/>
        <v>-1036.78794585469</v>
      </c>
      <c r="W577">
        <f t="shared" si="35"/>
        <v>-8619.85498183589</v>
      </c>
      <c r="X577">
        <f t="shared" si="37"/>
        <v>-3.66356164612965</v>
      </c>
      <c r="Y577">
        <v>10</v>
      </c>
    </row>
    <row r="578" spans="1:25">
      <c r="A578" s="1">
        <v>649</v>
      </c>
      <c r="B578" t="s">
        <v>889</v>
      </c>
      <c r="C578" t="s">
        <v>927</v>
      </c>
      <c r="D578" t="s">
        <v>928</v>
      </c>
      <c r="E578" t="s">
        <v>892</v>
      </c>
      <c r="F578" t="s">
        <v>292</v>
      </c>
      <c r="G578">
        <v>10</v>
      </c>
      <c r="H578">
        <v>4</v>
      </c>
      <c r="I578">
        <v>36</v>
      </c>
      <c r="J578">
        <v>55</v>
      </c>
      <c r="K578">
        <v>10</v>
      </c>
      <c r="L578">
        <v>18</v>
      </c>
      <c r="M578">
        <v>25</v>
      </c>
      <c r="N578" t="s">
        <v>802</v>
      </c>
      <c r="O578" t="s">
        <v>893</v>
      </c>
      <c r="P578" t="s">
        <v>228</v>
      </c>
      <c r="Q578" t="s">
        <v>894</v>
      </c>
      <c r="R578" t="s">
        <v>895</v>
      </c>
      <c r="S578">
        <v>54</v>
      </c>
      <c r="T578">
        <v>94</v>
      </c>
      <c r="U578">
        <f t="shared" ref="U578:U641" si="38">LN((1+T578*0.01)/(1-T578*0.01))*-(G578+273)*8.314/1000</f>
        <v>-8.1787805155632</v>
      </c>
      <c r="V578">
        <f t="shared" ref="V578:V641" si="39">LN((1+T578*0.01)/(1-T578*0.01))*-(G578+273)</f>
        <v>-983.735929223383</v>
      </c>
      <c r="W578">
        <f t="shared" ref="W578:W641" si="40">LN((1+T578*0.01)/(1-T578*0.01))*-(G578+273)*8.314</f>
        <v>-8178.7805155632</v>
      </c>
      <c r="X578">
        <f t="shared" si="37"/>
        <v>-3.47609868983527</v>
      </c>
      <c r="Y578">
        <v>10</v>
      </c>
    </row>
    <row r="579" spans="1:25">
      <c r="A579" s="1">
        <v>650</v>
      </c>
      <c r="B579" t="s">
        <v>889</v>
      </c>
      <c r="C579" t="s">
        <v>929</v>
      </c>
      <c r="D579" t="s">
        <v>930</v>
      </c>
      <c r="E579" t="s">
        <v>892</v>
      </c>
      <c r="F579" t="s">
        <v>292</v>
      </c>
      <c r="G579">
        <v>10</v>
      </c>
      <c r="H579">
        <v>4</v>
      </c>
      <c r="I579">
        <v>36</v>
      </c>
      <c r="J579">
        <v>55</v>
      </c>
      <c r="K579">
        <v>10</v>
      </c>
      <c r="L579">
        <v>18</v>
      </c>
      <c r="M579">
        <v>25</v>
      </c>
      <c r="N579" t="s">
        <v>802</v>
      </c>
      <c r="O579" t="s">
        <v>893</v>
      </c>
      <c r="P579" t="s">
        <v>228</v>
      </c>
      <c r="Q579" t="s">
        <v>894</v>
      </c>
      <c r="R579" t="s">
        <v>895</v>
      </c>
      <c r="S579">
        <v>57</v>
      </c>
      <c r="T579">
        <v>93</v>
      </c>
      <c r="U579">
        <f t="shared" si="38"/>
        <v>-7.80392571812055</v>
      </c>
      <c r="V579">
        <f t="shared" si="39"/>
        <v>-938.648751277429</v>
      </c>
      <c r="W579">
        <f t="shared" si="40"/>
        <v>-7803.92571812055</v>
      </c>
      <c r="X579">
        <f t="shared" si="37"/>
        <v>-3.31678003984957</v>
      </c>
      <c r="Y579">
        <v>10</v>
      </c>
    </row>
    <row r="580" spans="1:25">
      <c r="A580" s="1">
        <v>651</v>
      </c>
      <c r="B580" t="s">
        <v>889</v>
      </c>
      <c r="C580" t="s">
        <v>931</v>
      </c>
      <c r="D580" t="s">
        <v>932</v>
      </c>
      <c r="E580" t="s">
        <v>892</v>
      </c>
      <c r="F580" t="s">
        <v>292</v>
      </c>
      <c r="G580">
        <v>10</v>
      </c>
      <c r="H580">
        <v>4</v>
      </c>
      <c r="I580">
        <v>36</v>
      </c>
      <c r="J580">
        <v>55</v>
      </c>
      <c r="K580">
        <v>10</v>
      </c>
      <c r="L580">
        <v>18</v>
      </c>
      <c r="M580">
        <v>25</v>
      </c>
      <c r="N580" t="s">
        <v>802</v>
      </c>
      <c r="O580" t="s">
        <v>893</v>
      </c>
      <c r="P580" t="s">
        <v>228</v>
      </c>
      <c r="Q580" t="s">
        <v>894</v>
      </c>
      <c r="R580" t="s">
        <v>895</v>
      </c>
      <c r="S580">
        <v>43</v>
      </c>
      <c r="T580">
        <v>94</v>
      </c>
      <c r="U580">
        <f t="shared" si="38"/>
        <v>-8.1787805155632</v>
      </c>
      <c r="V580">
        <f t="shared" si="39"/>
        <v>-983.735929223383</v>
      </c>
      <c r="W580">
        <f t="shared" si="40"/>
        <v>-8178.7805155632</v>
      </c>
      <c r="X580">
        <f t="shared" si="37"/>
        <v>-3.47609868983527</v>
      </c>
      <c r="Y580">
        <v>10</v>
      </c>
    </row>
    <row r="581" spans="1:25">
      <c r="A581" s="1">
        <v>652</v>
      </c>
      <c r="B581" t="s">
        <v>889</v>
      </c>
      <c r="C581" t="s">
        <v>933</v>
      </c>
      <c r="D581" t="s">
        <v>934</v>
      </c>
      <c r="E581" t="s">
        <v>892</v>
      </c>
      <c r="F581" t="s">
        <v>292</v>
      </c>
      <c r="G581">
        <v>10</v>
      </c>
      <c r="H581">
        <v>4</v>
      </c>
      <c r="I581">
        <v>36</v>
      </c>
      <c r="J581">
        <v>55</v>
      </c>
      <c r="K581">
        <v>10</v>
      </c>
      <c r="L581">
        <v>18</v>
      </c>
      <c r="M581">
        <v>25</v>
      </c>
      <c r="N581" t="s">
        <v>802</v>
      </c>
      <c r="O581" t="s">
        <v>893</v>
      </c>
      <c r="P581" t="s">
        <v>228</v>
      </c>
      <c r="Q581" t="s">
        <v>894</v>
      </c>
      <c r="R581" t="s">
        <v>895</v>
      </c>
      <c r="S581">
        <v>75</v>
      </c>
      <c r="T581">
        <v>94</v>
      </c>
      <c r="U581">
        <f t="shared" si="38"/>
        <v>-8.1787805155632</v>
      </c>
      <c r="V581">
        <f t="shared" si="39"/>
        <v>-983.735929223383</v>
      </c>
      <c r="W581">
        <f t="shared" si="40"/>
        <v>-8178.7805155632</v>
      </c>
      <c r="X581">
        <f t="shared" si="37"/>
        <v>-3.47609868983527</v>
      </c>
      <c r="Y581">
        <v>10</v>
      </c>
    </row>
    <row r="582" spans="1:25">
      <c r="A582" s="1">
        <v>653</v>
      </c>
      <c r="B582" t="s">
        <v>889</v>
      </c>
      <c r="C582" t="s">
        <v>935</v>
      </c>
      <c r="D582" t="s">
        <v>936</v>
      </c>
      <c r="E582" t="s">
        <v>937</v>
      </c>
      <c r="F582" t="s">
        <v>292</v>
      </c>
      <c r="G582">
        <v>10</v>
      </c>
      <c r="H582">
        <v>4</v>
      </c>
      <c r="I582">
        <v>36</v>
      </c>
      <c r="J582">
        <v>55</v>
      </c>
      <c r="K582">
        <v>10</v>
      </c>
      <c r="L582">
        <v>18</v>
      </c>
      <c r="M582">
        <v>25</v>
      </c>
      <c r="N582" t="s">
        <v>802</v>
      </c>
      <c r="O582" t="s">
        <v>893</v>
      </c>
      <c r="P582" t="s">
        <v>228</v>
      </c>
      <c r="Q582" t="s">
        <v>894</v>
      </c>
      <c r="R582" t="s">
        <v>895</v>
      </c>
      <c r="S582">
        <v>34</v>
      </c>
      <c r="T582">
        <v>70</v>
      </c>
      <c r="U582">
        <f t="shared" si="38"/>
        <v>-4.08127690838257</v>
      </c>
      <c r="V582">
        <f t="shared" si="39"/>
        <v>-490.892098674834</v>
      </c>
      <c r="W582">
        <f t="shared" si="40"/>
        <v>-4081.27690838257</v>
      </c>
      <c r="X582">
        <f t="shared" si="37"/>
        <v>-1.73460105538811</v>
      </c>
      <c r="Y582">
        <v>10</v>
      </c>
    </row>
    <row r="583" spans="1:25">
      <c r="A583" s="1">
        <v>654</v>
      </c>
      <c r="B583" t="s">
        <v>889</v>
      </c>
      <c r="C583" t="s">
        <v>938</v>
      </c>
      <c r="D583" t="s">
        <v>939</v>
      </c>
      <c r="E583" t="s">
        <v>937</v>
      </c>
      <c r="F583" t="s">
        <v>292</v>
      </c>
      <c r="G583">
        <v>10</v>
      </c>
      <c r="H583">
        <v>4</v>
      </c>
      <c r="I583">
        <v>36</v>
      </c>
      <c r="J583">
        <v>55</v>
      </c>
      <c r="K583">
        <v>10</v>
      </c>
      <c r="L583">
        <v>18</v>
      </c>
      <c r="M583">
        <v>25</v>
      </c>
      <c r="N583" t="s">
        <v>802</v>
      </c>
      <c r="O583" t="s">
        <v>893</v>
      </c>
      <c r="P583" t="s">
        <v>228</v>
      </c>
      <c r="Q583" t="s">
        <v>894</v>
      </c>
      <c r="R583" t="s">
        <v>895</v>
      </c>
      <c r="S583">
        <v>44</v>
      </c>
      <c r="T583">
        <v>77</v>
      </c>
      <c r="U583">
        <f t="shared" si="38"/>
        <v>-4.80138082020363</v>
      </c>
      <c r="V583">
        <f t="shared" si="39"/>
        <v>-577.505511210444</v>
      </c>
      <c r="W583">
        <f t="shared" si="40"/>
        <v>-4801.38082020363</v>
      </c>
      <c r="X583">
        <f t="shared" si="37"/>
        <v>-2.04065551664468</v>
      </c>
      <c r="Y583">
        <v>10</v>
      </c>
    </row>
    <row r="584" spans="1:25">
      <c r="A584" s="1">
        <v>655</v>
      </c>
      <c r="B584" t="s">
        <v>889</v>
      </c>
      <c r="C584" t="s">
        <v>940</v>
      </c>
      <c r="D584" t="s">
        <v>891</v>
      </c>
      <c r="E584" t="s">
        <v>941</v>
      </c>
      <c r="F584" t="s">
        <v>292</v>
      </c>
      <c r="G584">
        <v>10</v>
      </c>
      <c r="H584">
        <v>4</v>
      </c>
      <c r="I584">
        <v>36</v>
      </c>
      <c r="J584">
        <v>55</v>
      </c>
      <c r="K584">
        <v>10</v>
      </c>
      <c r="L584">
        <v>18</v>
      </c>
      <c r="M584">
        <v>25</v>
      </c>
      <c r="N584" t="s">
        <v>802</v>
      </c>
      <c r="O584" t="s">
        <v>893</v>
      </c>
      <c r="P584" t="s">
        <v>228</v>
      </c>
      <c r="Q584" t="s">
        <v>894</v>
      </c>
      <c r="R584" t="s">
        <v>895</v>
      </c>
      <c r="S584">
        <v>86</v>
      </c>
      <c r="T584">
        <v>93</v>
      </c>
      <c r="U584">
        <f t="shared" si="38"/>
        <v>-7.80392571812055</v>
      </c>
      <c r="V584">
        <f t="shared" si="39"/>
        <v>-938.648751277429</v>
      </c>
      <c r="W584">
        <f t="shared" si="40"/>
        <v>-7803.92571812055</v>
      </c>
      <c r="X584">
        <f t="shared" si="37"/>
        <v>-3.31678003984957</v>
      </c>
      <c r="Y584">
        <v>10</v>
      </c>
    </row>
    <row r="585" spans="1:25">
      <c r="A585" s="1">
        <v>656</v>
      </c>
      <c r="B585" t="s">
        <v>889</v>
      </c>
      <c r="C585" t="s">
        <v>942</v>
      </c>
      <c r="D585" t="s">
        <v>891</v>
      </c>
      <c r="E585" t="s">
        <v>943</v>
      </c>
      <c r="F585" t="s">
        <v>292</v>
      </c>
      <c r="G585">
        <v>10</v>
      </c>
      <c r="H585">
        <v>4</v>
      </c>
      <c r="I585">
        <v>36</v>
      </c>
      <c r="J585">
        <v>55</v>
      </c>
      <c r="K585">
        <v>10</v>
      </c>
      <c r="L585">
        <v>18</v>
      </c>
      <c r="M585">
        <v>25</v>
      </c>
      <c r="N585" t="s">
        <v>802</v>
      </c>
      <c r="O585" t="s">
        <v>893</v>
      </c>
      <c r="P585" t="s">
        <v>228</v>
      </c>
      <c r="Q585" t="s">
        <v>894</v>
      </c>
      <c r="R585" t="s">
        <v>895</v>
      </c>
      <c r="S585">
        <v>79</v>
      </c>
      <c r="T585">
        <v>95</v>
      </c>
      <c r="U585">
        <f t="shared" si="38"/>
        <v>-8.61985498183589</v>
      </c>
      <c r="V585">
        <f t="shared" si="39"/>
        <v>-1036.78794585469</v>
      </c>
      <c r="W585">
        <f t="shared" si="40"/>
        <v>-8619.85498183589</v>
      </c>
      <c r="X585">
        <f t="shared" si="37"/>
        <v>-3.66356164612965</v>
      </c>
      <c r="Y585">
        <v>10</v>
      </c>
    </row>
    <row r="586" spans="1:25">
      <c r="A586" s="1">
        <v>657</v>
      </c>
      <c r="B586" t="s">
        <v>889</v>
      </c>
      <c r="C586" t="s">
        <v>944</v>
      </c>
      <c r="D586" t="s">
        <v>891</v>
      </c>
      <c r="E586" t="s">
        <v>945</v>
      </c>
      <c r="F586" t="s">
        <v>292</v>
      </c>
      <c r="G586">
        <v>10</v>
      </c>
      <c r="H586">
        <v>4</v>
      </c>
      <c r="I586">
        <v>36</v>
      </c>
      <c r="J586">
        <v>55</v>
      </c>
      <c r="K586">
        <v>10</v>
      </c>
      <c r="L586">
        <v>18</v>
      </c>
      <c r="M586">
        <v>25</v>
      </c>
      <c r="N586" t="s">
        <v>802</v>
      </c>
      <c r="O586" t="s">
        <v>893</v>
      </c>
      <c r="P586" t="s">
        <v>228</v>
      </c>
      <c r="Q586" t="s">
        <v>894</v>
      </c>
      <c r="R586" t="s">
        <v>895</v>
      </c>
      <c r="S586">
        <v>79</v>
      </c>
      <c r="T586">
        <v>97</v>
      </c>
      <c r="U586">
        <f t="shared" si="38"/>
        <v>-9.84576618486569</v>
      </c>
      <c r="V586">
        <f t="shared" si="39"/>
        <v>-1184.23937753978</v>
      </c>
      <c r="W586">
        <f t="shared" si="40"/>
        <v>-9845.76618486569</v>
      </c>
      <c r="X586">
        <f t="shared" si="37"/>
        <v>-4.18459144006988</v>
      </c>
      <c r="Y586">
        <v>10</v>
      </c>
    </row>
    <row r="587" spans="1:25">
      <c r="A587" s="1">
        <v>658</v>
      </c>
      <c r="B587" t="s">
        <v>889</v>
      </c>
      <c r="C587" t="s">
        <v>946</v>
      </c>
      <c r="D587" t="s">
        <v>891</v>
      </c>
      <c r="E587" t="s">
        <v>947</v>
      </c>
      <c r="F587" t="s">
        <v>292</v>
      </c>
      <c r="G587">
        <v>10</v>
      </c>
      <c r="H587">
        <v>4</v>
      </c>
      <c r="I587">
        <v>36</v>
      </c>
      <c r="J587">
        <v>55</v>
      </c>
      <c r="K587">
        <v>10</v>
      </c>
      <c r="L587">
        <v>18</v>
      </c>
      <c r="M587">
        <v>25</v>
      </c>
      <c r="N587" t="s">
        <v>802</v>
      </c>
      <c r="O587" t="s">
        <v>893</v>
      </c>
      <c r="P587" t="s">
        <v>228</v>
      </c>
      <c r="Q587" t="s">
        <v>894</v>
      </c>
      <c r="R587" t="s">
        <v>895</v>
      </c>
      <c r="S587">
        <v>68</v>
      </c>
      <c r="T587">
        <v>95</v>
      </c>
      <c r="U587">
        <f t="shared" si="38"/>
        <v>-8.61985498183589</v>
      </c>
      <c r="V587">
        <f t="shared" si="39"/>
        <v>-1036.78794585469</v>
      </c>
      <c r="W587">
        <f t="shared" si="40"/>
        <v>-8619.85498183589</v>
      </c>
      <c r="X587">
        <f t="shared" si="37"/>
        <v>-3.66356164612965</v>
      </c>
      <c r="Y587">
        <v>10</v>
      </c>
    </row>
    <row r="588" spans="1:25">
      <c r="A588" s="1">
        <v>659</v>
      </c>
      <c r="B588" t="s">
        <v>889</v>
      </c>
      <c r="C588" t="s">
        <v>948</v>
      </c>
      <c r="D588" t="s">
        <v>891</v>
      </c>
      <c r="E588" t="s">
        <v>949</v>
      </c>
      <c r="F588" t="s">
        <v>292</v>
      </c>
      <c r="G588">
        <v>10</v>
      </c>
      <c r="H588">
        <v>4</v>
      </c>
      <c r="I588">
        <v>36</v>
      </c>
      <c r="J588">
        <v>55</v>
      </c>
      <c r="K588">
        <v>10</v>
      </c>
      <c r="L588">
        <v>18</v>
      </c>
      <c r="M588">
        <v>25</v>
      </c>
      <c r="N588" t="s">
        <v>802</v>
      </c>
      <c r="O588" t="s">
        <v>893</v>
      </c>
      <c r="P588" t="s">
        <v>228</v>
      </c>
      <c r="Q588" t="s">
        <v>894</v>
      </c>
      <c r="R588" t="s">
        <v>895</v>
      </c>
      <c r="S588">
        <v>76</v>
      </c>
      <c r="T588">
        <v>93</v>
      </c>
      <c r="U588">
        <f t="shared" si="38"/>
        <v>-7.80392571812055</v>
      </c>
      <c r="V588">
        <f t="shared" si="39"/>
        <v>-938.648751277429</v>
      </c>
      <c r="W588">
        <f t="shared" si="40"/>
        <v>-7803.92571812055</v>
      </c>
      <c r="X588">
        <f t="shared" si="37"/>
        <v>-3.31678003984957</v>
      </c>
      <c r="Y588">
        <v>10</v>
      </c>
    </row>
    <row r="589" spans="1:25">
      <c r="A589" s="1">
        <v>660</v>
      </c>
      <c r="B589" t="s">
        <v>889</v>
      </c>
      <c r="C589" t="s">
        <v>950</v>
      </c>
      <c r="D589" t="s">
        <v>891</v>
      </c>
      <c r="E589" t="s">
        <v>951</v>
      </c>
      <c r="F589" t="s">
        <v>292</v>
      </c>
      <c r="G589">
        <v>10</v>
      </c>
      <c r="H589">
        <v>4</v>
      </c>
      <c r="I589">
        <v>36</v>
      </c>
      <c r="J589">
        <v>55</v>
      </c>
      <c r="K589">
        <v>10</v>
      </c>
      <c r="L589">
        <v>18</v>
      </c>
      <c r="M589">
        <v>25</v>
      </c>
      <c r="N589" t="s">
        <v>802</v>
      </c>
      <c r="O589" t="s">
        <v>893</v>
      </c>
      <c r="P589" t="s">
        <v>228</v>
      </c>
      <c r="Q589" t="s">
        <v>894</v>
      </c>
      <c r="R589" t="s">
        <v>895</v>
      </c>
      <c r="S589">
        <v>68</v>
      </c>
      <c r="T589">
        <v>91</v>
      </c>
      <c r="U589">
        <f t="shared" si="38"/>
        <v>-7.1881083489802</v>
      </c>
      <c r="V589">
        <f t="shared" si="39"/>
        <v>-864.578824751046</v>
      </c>
      <c r="W589">
        <f t="shared" si="40"/>
        <v>-7188.1083489802</v>
      </c>
      <c r="X589">
        <f t="shared" si="37"/>
        <v>-3.05504885071041</v>
      </c>
      <c r="Y589">
        <v>10</v>
      </c>
    </row>
    <row r="590" spans="1:25">
      <c r="A590" s="1">
        <v>661</v>
      </c>
      <c r="B590" t="s">
        <v>889</v>
      </c>
      <c r="C590" t="s">
        <v>952</v>
      </c>
      <c r="D590" t="s">
        <v>891</v>
      </c>
      <c r="E590" t="s">
        <v>953</v>
      </c>
      <c r="F590" t="s">
        <v>292</v>
      </c>
      <c r="G590">
        <v>10</v>
      </c>
      <c r="H590">
        <v>4</v>
      </c>
      <c r="I590">
        <v>36</v>
      </c>
      <c r="J590">
        <v>55</v>
      </c>
      <c r="K590">
        <v>10</v>
      </c>
      <c r="L590">
        <v>18</v>
      </c>
      <c r="M590">
        <v>25</v>
      </c>
      <c r="N590" t="s">
        <v>802</v>
      </c>
      <c r="O590" t="s">
        <v>893</v>
      </c>
      <c r="P590" t="s">
        <v>228</v>
      </c>
      <c r="Q590" t="s">
        <v>894</v>
      </c>
      <c r="R590" t="s">
        <v>895</v>
      </c>
      <c r="S590">
        <v>69</v>
      </c>
      <c r="T590">
        <v>91</v>
      </c>
      <c r="U590">
        <f t="shared" si="38"/>
        <v>-7.1881083489802</v>
      </c>
      <c r="V590">
        <f t="shared" si="39"/>
        <v>-864.578824751046</v>
      </c>
      <c r="W590">
        <f t="shared" si="40"/>
        <v>-7188.1083489802</v>
      </c>
      <c r="X590">
        <f t="shared" si="37"/>
        <v>-3.05504885071041</v>
      </c>
      <c r="Y590">
        <v>10</v>
      </c>
    </row>
    <row r="591" spans="1:25">
      <c r="A591" s="1">
        <v>662</v>
      </c>
      <c r="B591" t="s">
        <v>889</v>
      </c>
      <c r="C591" t="s">
        <v>954</v>
      </c>
      <c r="D591" t="s">
        <v>891</v>
      </c>
      <c r="E591" t="s">
        <v>955</v>
      </c>
      <c r="F591" t="s">
        <v>292</v>
      </c>
      <c r="G591">
        <v>10</v>
      </c>
      <c r="H591">
        <v>4</v>
      </c>
      <c r="I591">
        <v>36</v>
      </c>
      <c r="J591">
        <v>55</v>
      </c>
      <c r="K591">
        <v>10</v>
      </c>
      <c r="L591">
        <v>18</v>
      </c>
      <c r="M591">
        <v>25</v>
      </c>
      <c r="N591" t="s">
        <v>802</v>
      </c>
      <c r="O591" t="s">
        <v>893</v>
      </c>
      <c r="P591" t="s">
        <v>228</v>
      </c>
      <c r="Q591" t="s">
        <v>894</v>
      </c>
      <c r="R591" t="s">
        <v>895</v>
      </c>
      <c r="S591">
        <v>62</v>
      </c>
      <c r="T591">
        <v>88</v>
      </c>
      <c r="U591">
        <f t="shared" si="38"/>
        <v>-6.47398287971451</v>
      </c>
      <c r="V591">
        <f t="shared" si="39"/>
        <v>-778.684493590872</v>
      </c>
      <c r="W591">
        <f t="shared" si="40"/>
        <v>-6473.98287971451</v>
      </c>
      <c r="X591">
        <f t="shared" si="37"/>
        <v>-2.75153531304195</v>
      </c>
      <c r="Y591">
        <v>10</v>
      </c>
    </row>
    <row r="592" spans="1:25">
      <c r="A592" s="1">
        <v>663</v>
      </c>
      <c r="B592" t="s">
        <v>889</v>
      </c>
      <c r="C592" t="s">
        <v>956</v>
      </c>
      <c r="D592" t="s">
        <v>891</v>
      </c>
      <c r="E592" t="s">
        <v>957</v>
      </c>
      <c r="F592" t="s">
        <v>292</v>
      </c>
      <c r="G592">
        <v>10</v>
      </c>
      <c r="H592">
        <v>4</v>
      </c>
      <c r="I592">
        <v>36</v>
      </c>
      <c r="J592">
        <v>55</v>
      </c>
      <c r="K592">
        <v>10</v>
      </c>
      <c r="L592">
        <v>18</v>
      </c>
      <c r="M592">
        <v>25</v>
      </c>
      <c r="N592" t="s">
        <v>802</v>
      </c>
      <c r="O592" t="s">
        <v>893</v>
      </c>
      <c r="P592" t="s">
        <v>228</v>
      </c>
      <c r="Q592" t="s">
        <v>894</v>
      </c>
      <c r="R592" t="s">
        <v>895</v>
      </c>
      <c r="S592">
        <v>65</v>
      </c>
      <c r="T592">
        <v>94</v>
      </c>
      <c r="U592">
        <f t="shared" si="38"/>
        <v>-8.1787805155632</v>
      </c>
      <c r="V592">
        <f t="shared" si="39"/>
        <v>-983.735929223383</v>
      </c>
      <c r="W592">
        <f t="shared" si="40"/>
        <v>-8178.7805155632</v>
      </c>
      <c r="X592">
        <f t="shared" si="37"/>
        <v>-3.47609868983527</v>
      </c>
      <c r="Y592">
        <v>10</v>
      </c>
    </row>
    <row r="593" spans="1:25">
      <c r="A593" s="1">
        <v>664</v>
      </c>
      <c r="B593" t="s">
        <v>889</v>
      </c>
      <c r="C593" t="s">
        <v>958</v>
      </c>
      <c r="D593" t="s">
        <v>891</v>
      </c>
      <c r="E593" t="s">
        <v>959</v>
      </c>
      <c r="F593" t="s">
        <v>292</v>
      </c>
      <c r="G593">
        <v>10</v>
      </c>
      <c r="H593">
        <v>4</v>
      </c>
      <c r="I593">
        <v>36</v>
      </c>
      <c r="J593">
        <v>55</v>
      </c>
      <c r="K593">
        <v>10</v>
      </c>
      <c r="L593">
        <v>18</v>
      </c>
      <c r="M593">
        <v>25</v>
      </c>
      <c r="N593" t="s">
        <v>802</v>
      </c>
      <c r="O593" t="s">
        <v>893</v>
      </c>
      <c r="P593" t="s">
        <v>228</v>
      </c>
      <c r="Q593" t="s">
        <v>894</v>
      </c>
      <c r="R593" t="s">
        <v>895</v>
      </c>
      <c r="S593">
        <v>59</v>
      </c>
      <c r="T593">
        <v>95</v>
      </c>
      <c r="U593">
        <f t="shared" si="38"/>
        <v>-8.61985498183589</v>
      </c>
      <c r="V593">
        <f t="shared" si="39"/>
        <v>-1036.78794585469</v>
      </c>
      <c r="W593">
        <f t="shared" si="40"/>
        <v>-8619.85498183589</v>
      </c>
      <c r="X593">
        <f t="shared" si="37"/>
        <v>-3.66356164612965</v>
      </c>
      <c r="Y593">
        <v>10</v>
      </c>
    </row>
    <row r="594" spans="1:25">
      <c r="A594" s="1">
        <v>665</v>
      </c>
      <c r="B594" t="s">
        <v>889</v>
      </c>
      <c r="C594" t="s">
        <v>960</v>
      </c>
      <c r="D594" t="s">
        <v>891</v>
      </c>
      <c r="E594" t="s">
        <v>961</v>
      </c>
      <c r="F594" t="s">
        <v>292</v>
      </c>
      <c r="G594">
        <v>10</v>
      </c>
      <c r="H594">
        <v>4</v>
      </c>
      <c r="I594">
        <v>36</v>
      </c>
      <c r="J594">
        <v>55</v>
      </c>
      <c r="K594">
        <v>10</v>
      </c>
      <c r="L594">
        <v>18</v>
      </c>
      <c r="M594">
        <v>25</v>
      </c>
      <c r="N594" t="s">
        <v>802</v>
      </c>
      <c r="O594" t="s">
        <v>893</v>
      </c>
      <c r="P594" t="s">
        <v>228</v>
      </c>
      <c r="Q594" t="s">
        <v>894</v>
      </c>
      <c r="R594" t="s">
        <v>895</v>
      </c>
      <c r="S594">
        <v>67</v>
      </c>
      <c r="T594">
        <v>93</v>
      </c>
      <c r="U594">
        <f t="shared" si="38"/>
        <v>-7.80392571812055</v>
      </c>
      <c r="V594">
        <f t="shared" si="39"/>
        <v>-938.648751277429</v>
      </c>
      <c r="W594">
        <f t="shared" si="40"/>
        <v>-7803.92571812055</v>
      </c>
      <c r="X594">
        <f t="shared" si="37"/>
        <v>-3.31678003984957</v>
      </c>
      <c r="Y594">
        <v>10</v>
      </c>
    </row>
    <row r="595" spans="1:25">
      <c r="A595" s="1">
        <v>666</v>
      </c>
      <c r="B595" t="s">
        <v>889</v>
      </c>
      <c r="C595" t="s">
        <v>962</v>
      </c>
      <c r="D595" t="s">
        <v>891</v>
      </c>
      <c r="E595" t="s">
        <v>963</v>
      </c>
      <c r="F595" t="s">
        <v>292</v>
      </c>
      <c r="G595">
        <v>10</v>
      </c>
      <c r="H595">
        <v>4</v>
      </c>
      <c r="I595">
        <v>36</v>
      </c>
      <c r="J595">
        <v>55</v>
      </c>
      <c r="K595">
        <v>10</v>
      </c>
      <c r="L595">
        <v>18</v>
      </c>
      <c r="M595">
        <v>25</v>
      </c>
      <c r="N595" t="s">
        <v>802</v>
      </c>
      <c r="O595" t="s">
        <v>893</v>
      </c>
      <c r="P595" t="s">
        <v>228</v>
      </c>
      <c r="Q595" t="s">
        <v>894</v>
      </c>
      <c r="R595" t="s">
        <v>895</v>
      </c>
      <c r="S595">
        <v>62</v>
      </c>
      <c r="T595">
        <v>93</v>
      </c>
      <c r="U595">
        <f t="shared" si="38"/>
        <v>-7.80392571812055</v>
      </c>
      <c r="V595">
        <f t="shared" si="39"/>
        <v>-938.648751277429</v>
      </c>
      <c r="W595">
        <f t="shared" si="40"/>
        <v>-7803.92571812055</v>
      </c>
      <c r="X595">
        <f t="shared" si="37"/>
        <v>-3.31678003984957</v>
      </c>
      <c r="Y595">
        <v>10</v>
      </c>
    </row>
    <row r="596" spans="1:25">
      <c r="A596" s="1">
        <v>667</v>
      </c>
      <c r="B596" t="s">
        <v>889</v>
      </c>
      <c r="C596" t="s">
        <v>964</v>
      </c>
      <c r="D596" t="s">
        <v>891</v>
      </c>
      <c r="E596" t="s">
        <v>965</v>
      </c>
      <c r="F596" t="s">
        <v>292</v>
      </c>
      <c r="G596">
        <v>10</v>
      </c>
      <c r="H596">
        <v>4</v>
      </c>
      <c r="I596">
        <v>36</v>
      </c>
      <c r="J596">
        <v>55</v>
      </c>
      <c r="K596">
        <v>10</v>
      </c>
      <c r="L596">
        <v>18</v>
      </c>
      <c r="M596">
        <v>25</v>
      </c>
      <c r="N596" t="s">
        <v>802</v>
      </c>
      <c r="O596" t="s">
        <v>893</v>
      </c>
      <c r="P596" t="s">
        <v>228</v>
      </c>
      <c r="Q596" t="s">
        <v>894</v>
      </c>
      <c r="R596" t="s">
        <v>895</v>
      </c>
      <c r="S596">
        <v>66</v>
      </c>
      <c r="T596">
        <v>94</v>
      </c>
      <c r="U596">
        <f t="shared" si="38"/>
        <v>-8.1787805155632</v>
      </c>
      <c r="V596">
        <f t="shared" si="39"/>
        <v>-983.735929223383</v>
      </c>
      <c r="W596">
        <f t="shared" si="40"/>
        <v>-8178.7805155632</v>
      </c>
      <c r="X596">
        <f t="shared" si="37"/>
        <v>-3.47609868983527</v>
      </c>
      <c r="Y596">
        <v>10</v>
      </c>
    </row>
    <row r="597" spans="1:25">
      <c r="A597" s="1">
        <v>668</v>
      </c>
      <c r="B597" t="s">
        <v>889</v>
      </c>
      <c r="C597" t="s">
        <v>966</v>
      </c>
      <c r="D597" t="s">
        <v>891</v>
      </c>
      <c r="E597" t="s">
        <v>967</v>
      </c>
      <c r="F597" t="s">
        <v>292</v>
      </c>
      <c r="G597">
        <v>10</v>
      </c>
      <c r="H597">
        <v>4</v>
      </c>
      <c r="I597">
        <v>36</v>
      </c>
      <c r="J597">
        <v>55</v>
      </c>
      <c r="K597">
        <v>10</v>
      </c>
      <c r="L597">
        <v>18</v>
      </c>
      <c r="M597">
        <v>25</v>
      </c>
      <c r="N597" t="s">
        <v>802</v>
      </c>
      <c r="O597" t="s">
        <v>893</v>
      </c>
      <c r="P597" t="s">
        <v>228</v>
      </c>
      <c r="Q597" t="s">
        <v>894</v>
      </c>
      <c r="R597" t="s">
        <v>895</v>
      </c>
      <c r="S597">
        <v>37</v>
      </c>
      <c r="T597">
        <v>91</v>
      </c>
      <c r="U597">
        <f t="shared" si="38"/>
        <v>-7.1881083489802</v>
      </c>
      <c r="V597">
        <f t="shared" si="39"/>
        <v>-864.578824751046</v>
      </c>
      <c r="W597">
        <f t="shared" si="40"/>
        <v>-7188.1083489802</v>
      </c>
      <c r="X597">
        <f t="shared" si="37"/>
        <v>-3.05504885071041</v>
      </c>
      <c r="Y597">
        <v>10</v>
      </c>
    </row>
    <row r="598" spans="1:25">
      <c r="A598" s="1">
        <v>669</v>
      </c>
      <c r="B598" t="s">
        <v>889</v>
      </c>
      <c r="C598" t="s">
        <v>968</v>
      </c>
      <c r="D598" t="s">
        <v>891</v>
      </c>
      <c r="E598" t="s">
        <v>969</v>
      </c>
      <c r="F598" t="s">
        <v>292</v>
      </c>
      <c r="G598">
        <v>10</v>
      </c>
      <c r="H598">
        <v>4</v>
      </c>
      <c r="I598">
        <v>36</v>
      </c>
      <c r="J598">
        <v>55</v>
      </c>
      <c r="K598">
        <v>10</v>
      </c>
      <c r="L598">
        <v>18</v>
      </c>
      <c r="M598">
        <v>25</v>
      </c>
      <c r="N598" t="s">
        <v>802</v>
      </c>
      <c r="O598" t="s">
        <v>893</v>
      </c>
      <c r="P598" t="s">
        <v>228</v>
      </c>
      <c r="Q598" t="s">
        <v>894</v>
      </c>
      <c r="R598" t="s">
        <v>895</v>
      </c>
      <c r="S598">
        <v>70</v>
      </c>
      <c r="T598">
        <v>94</v>
      </c>
      <c r="U598">
        <f t="shared" si="38"/>
        <v>-8.1787805155632</v>
      </c>
      <c r="V598">
        <f t="shared" si="39"/>
        <v>-983.735929223383</v>
      </c>
      <c r="W598">
        <f t="shared" si="40"/>
        <v>-8178.7805155632</v>
      </c>
      <c r="X598">
        <f t="shared" si="37"/>
        <v>-3.47609868983527</v>
      </c>
      <c r="Y598">
        <v>10</v>
      </c>
    </row>
    <row r="599" spans="1:25">
      <c r="A599" s="1">
        <v>670</v>
      </c>
      <c r="B599" t="s">
        <v>889</v>
      </c>
      <c r="C599" t="s">
        <v>970</v>
      </c>
      <c r="D599" t="s">
        <v>891</v>
      </c>
      <c r="E599" t="s">
        <v>971</v>
      </c>
      <c r="F599" t="s">
        <v>292</v>
      </c>
      <c r="G599">
        <v>10</v>
      </c>
      <c r="H599">
        <v>4</v>
      </c>
      <c r="I599">
        <v>36</v>
      </c>
      <c r="J599">
        <v>55</v>
      </c>
      <c r="K599">
        <v>10</v>
      </c>
      <c r="L599">
        <v>18</v>
      </c>
      <c r="M599">
        <v>25</v>
      </c>
      <c r="N599" t="s">
        <v>802</v>
      </c>
      <c r="O599" t="s">
        <v>893</v>
      </c>
      <c r="P599" t="s">
        <v>228</v>
      </c>
      <c r="Q599" t="s">
        <v>894</v>
      </c>
      <c r="R599" t="s">
        <v>895</v>
      </c>
      <c r="S599">
        <v>79</v>
      </c>
      <c r="T599">
        <v>95</v>
      </c>
      <c r="U599">
        <f t="shared" si="38"/>
        <v>-8.61985498183589</v>
      </c>
      <c r="V599">
        <f t="shared" si="39"/>
        <v>-1036.78794585469</v>
      </c>
      <c r="W599">
        <f t="shared" si="40"/>
        <v>-8619.85498183589</v>
      </c>
      <c r="X599">
        <f t="shared" si="37"/>
        <v>-3.66356164612965</v>
      </c>
      <c r="Y599">
        <v>10</v>
      </c>
    </row>
    <row r="600" spans="1:25">
      <c r="A600" s="1">
        <v>671</v>
      </c>
      <c r="B600" t="s">
        <v>889</v>
      </c>
      <c r="C600" t="s">
        <v>972</v>
      </c>
      <c r="D600" t="s">
        <v>891</v>
      </c>
      <c r="E600" t="s">
        <v>973</v>
      </c>
      <c r="F600" t="s">
        <v>292</v>
      </c>
      <c r="G600">
        <v>10</v>
      </c>
      <c r="H600">
        <v>4</v>
      </c>
      <c r="I600">
        <v>36</v>
      </c>
      <c r="J600">
        <v>55</v>
      </c>
      <c r="K600">
        <v>10</v>
      </c>
      <c r="L600">
        <v>18</v>
      </c>
      <c r="M600">
        <v>25</v>
      </c>
      <c r="N600" t="s">
        <v>802</v>
      </c>
      <c r="O600" t="s">
        <v>893</v>
      </c>
      <c r="P600" t="s">
        <v>228</v>
      </c>
      <c r="Q600" t="s">
        <v>894</v>
      </c>
      <c r="R600" t="s">
        <v>895</v>
      </c>
      <c r="S600">
        <v>73</v>
      </c>
      <c r="T600">
        <v>86</v>
      </c>
      <c r="U600">
        <f t="shared" si="38"/>
        <v>-6.08612306353297</v>
      </c>
      <c r="V600">
        <f t="shared" si="39"/>
        <v>-732.033084379718</v>
      </c>
      <c r="W600">
        <f t="shared" si="40"/>
        <v>-6086.12306353297</v>
      </c>
      <c r="X600">
        <f t="shared" si="37"/>
        <v>-2.58668934409794</v>
      </c>
      <c r="Y600">
        <v>10</v>
      </c>
    </row>
    <row r="601" spans="1:25">
      <c r="A601" s="1">
        <v>672</v>
      </c>
      <c r="B601" t="s">
        <v>889</v>
      </c>
      <c r="C601" t="s">
        <v>974</v>
      </c>
      <c r="D601" t="s">
        <v>891</v>
      </c>
      <c r="E601" t="s">
        <v>975</v>
      </c>
      <c r="F601" t="s">
        <v>292</v>
      </c>
      <c r="G601">
        <v>10</v>
      </c>
      <c r="H601">
        <v>4</v>
      </c>
      <c r="I601">
        <v>36</v>
      </c>
      <c r="J601">
        <v>55</v>
      </c>
      <c r="K601">
        <v>10</v>
      </c>
      <c r="L601">
        <v>18</v>
      </c>
      <c r="M601">
        <v>25</v>
      </c>
      <c r="N601" t="s">
        <v>802</v>
      </c>
      <c r="O601" t="s">
        <v>893</v>
      </c>
      <c r="P601" t="s">
        <v>228</v>
      </c>
      <c r="Q601" t="s">
        <v>894</v>
      </c>
      <c r="R601" t="s">
        <v>895</v>
      </c>
      <c r="S601">
        <v>72</v>
      </c>
      <c r="T601">
        <v>94</v>
      </c>
      <c r="U601">
        <f t="shared" si="38"/>
        <v>-8.1787805155632</v>
      </c>
      <c r="V601">
        <f t="shared" si="39"/>
        <v>-983.735929223383</v>
      </c>
      <c r="W601">
        <f t="shared" si="40"/>
        <v>-8178.7805155632</v>
      </c>
      <c r="X601">
        <f t="shared" si="37"/>
        <v>-3.47609868983527</v>
      </c>
      <c r="Y601">
        <v>10</v>
      </c>
    </row>
    <row r="602" spans="1:25">
      <c r="A602" s="1">
        <v>673</v>
      </c>
      <c r="B602" t="s">
        <v>889</v>
      </c>
      <c r="C602" t="s">
        <v>976</v>
      </c>
      <c r="D602" t="s">
        <v>891</v>
      </c>
      <c r="E602" t="s">
        <v>977</v>
      </c>
      <c r="F602" t="s">
        <v>292</v>
      </c>
      <c r="G602">
        <v>10</v>
      </c>
      <c r="H602">
        <v>4</v>
      </c>
      <c r="I602">
        <v>36</v>
      </c>
      <c r="J602">
        <v>55</v>
      </c>
      <c r="K602">
        <v>10</v>
      </c>
      <c r="L602">
        <v>18</v>
      </c>
      <c r="M602">
        <v>25</v>
      </c>
      <c r="N602" t="s">
        <v>802</v>
      </c>
      <c r="O602" t="s">
        <v>893</v>
      </c>
      <c r="P602" t="s">
        <v>228</v>
      </c>
      <c r="Q602" t="s">
        <v>894</v>
      </c>
      <c r="R602" t="s">
        <v>895</v>
      </c>
      <c r="S602">
        <v>66</v>
      </c>
      <c r="T602">
        <v>94</v>
      </c>
      <c r="U602">
        <f t="shared" si="38"/>
        <v>-8.1787805155632</v>
      </c>
      <c r="V602">
        <f t="shared" si="39"/>
        <v>-983.735929223383</v>
      </c>
      <c r="W602">
        <f t="shared" si="40"/>
        <v>-8178.7805155632</v>
      </c>
      <c r="X602">
        <f t="shared" si="37"/>
        <v>-3.47609868983527</v>
      </c>
      <c r="Y602">
        <v>10</v>
      </c>
    </row>
    <row r="603" spans="1:25">
      <c r="A603" s="1">
        <v>674</v>
      </c>
      <c r="B603" t="s">
        <v>889</v>
      </c>
      <c r="C603" t="s">
        <v>978</v>
      </c>
      <c r="D603" t="s">
        <v>891</v>
      </c>
      <c r="E603" t="s">
        <v>979</v>
      </c>
      <c r="F603" t="s">
        <v>292</v>
      </c>
      <c r="G603">
        <v>10</v>
      </c>
      <c r="H603">
        <v>4</v>
      </c>
      <c r="I603">
        <v>36</v>
      </c>
      <c r="J603">
        <v>55</v>
      </c>
      <c r="K603">
        <v>10</v>
      </c>
      <c r="L603">
        <v>18</v>
      </c>
      <c r="M603">
        <v>25</v>
      </c>
      <c r="N603" t="s">
        <v>802</v>
      </c>
      <c r="O603" t="s">
        <v>893</v>
      </c>
      <c r="P603" t="s">
        <v>228</v>
      </c>
      <c r="Q603" t="s">
        <v>894</v>
      </c>
      <c r="R603" t="s">
        <v>895</v>
      </c>
      <c r="S603">
        <v>52</v>
      </c>
      <c r="T603">
        <v>93</v>
      </c>
      <c r="U603">
        <f t="shared" si="38"/>
        <v>-7.80392571812055</v>
      </c>
      <c r="V603">
        <f t="shared" si="39"/>
        <v>-938.648751277429</v>
      </c>
      <c r="W603">
        <f t="shared" si="40"/>
        <v>-7803.92571812055</v>
      </c>
      <c r="X603">
        <f t="shared" si="37"/>
        <v>-3.31678003984957</v>
      </c>
      <c r="Y603">
        <v>10</v>
      </c>
    </row>
    <row r="604" spans="1:25">
      <c r="A604" s="1">
        <v>675</v>
      </c>
      <c r="B604" t="s">
        <v>889</v>
      </c>
      <c r="C604" t="s">
        <v>980</v>
      </c>
      <c r="D604" t="s">
        <v>891</v>
      </c>
      <c r="E604" t="s">
        <v>981</v>
      </c>
      <c r="F604" t="s">
        <v>292</v>
      </c>
      <c r="G604">
        <v>10</v>
      </c>
      <c r="H604">
        <v>4</v>
      </c>
      <c r="I604">
        <v>36</v>
      </c>
      <c r="J604">
        <v>55</v>
      </c>
      <c r="K604">
        <v>10</v>
      </c>
      <c r="L604">
        <v>18</v>
      </c>
      <c r="M604">
        <v>25</v>
      </c>
      <c r="N604" t="s">
        <v>802</v>
      </c>
      <c r="O604" t="s">
        <v>893</v>
      </c>
      <c r="P604" t="s">
        <v>228</v>
      </c>
      <c r="Q604" t="s">
        <v>894</v>
      </c>
      <c r="R604" t="s">
        <v>895</v>
      </c>
      <c r="S604">
        <v>52</v>
      </c>
      <c r="T604">
        <v>95</v>
      </c>
      <c r="U604">
        <f t="shared" si="38"/>
        <v>-8.61985498183589</v>
      </c>
      <c r="V604">
        <f t="shared" si="39"/>
        <v>-1036.78794585469</v>
      </c>
      <c r="W604">
        <f t="shared" si="40"/>
        <v>-8619.85498183589</v>
      </c>
      <c r="X604">
        <f t="shared" si="37"/>
        <v>-3.66356164612965</v>
      </c>
      <c r="Y604">
        <v>10</v>
      </c>
    </row>
    <row r="605" spans="1:25">
      <c r="A605" s="1">
        <v>676</v>
      </c>
      <c r="B605" t="s">
        <v>889</v>
      </c>
      <c r="C605" t="s">
        <v>982</v>
      </c>
      <c r="D605" t="s">
        <v>891</v>
      </c>
      <c r="E605" t="s">
        <v>983</v>
      </c>
      <c r="F605" t="s">
        <v>292</v>
      </c>
      <c r="G605">
        <v>10</v>
      </c>
      <c r="H605">
        <v>4</v>
      </c>
      <c r="I605">
        <v>36</v>
      </c>
      <c r="J605">
        <v>55</v>
      </c>
      <c r="K605">
        <v>10</v>
      </c>
      <c r="L605">
        <v>18</v>
      </c>
      <c r="M605">
        <v>25</v>
      </c>
      <c r="N605" t="s">
        <v>802</v>
      </c>
      <c r="O605" t="s">
        <v>893</v>
      </c>
      <c r="P605" t="s">
        <v>228</v>
      </c>
      <c r="Q605" t="s">
        <v>894</v>
      </c>
      <c r="R605" t="s">
        <v>895</v>
      </c>
      <c r="S605">
        <v>66</v>
      </c>
      <c r="T605">
        <v>95</v>
      </c>
      <c r="U605">
        <f t="shared" si="38"/>
        <v>-8.61985498183589</v>
      </c>
      <c r="V605">
        <f t="shared" si="39"/>
        <v>-1036.78794585469</v>
      </c>
      <c r="W605">
        <f t="shared" si="40"/>
        <v>-8619.85498183589</v>
      </c>
      <c r="X605">
        <f t="shared" si="37"/>
        <v>-3.66356164612965</v>
      </c>
      <c r="Y605">
        <v>10</v>
      </c>
    </row>
    <row r="606" spans="1:25">
      <c r="A606" s="1">
        <v>677</v>
      </c>
      <c r="B606" t="s">
        <v>889</v>
      </c>
      <c r="C606" t="s">
        <v>984</v>
      </c>
      <c r="D606" t="s">
        <v>891</v>
      </c>
      <c r="E606" t="s">
        <v>985</v>
      </c>
      <c r="F606" t="s">
        <v>292</v>
      </c>
      <c r="G606">
        <v>10</v>
      </c>
      <c r="H606">
        <v>4</v>
      </c>
      <c r="I606">
        <v>36</v>
      </c>
      <c r="J606">
        <v>55</v>
      </c>
      <c r="K606">
        <v>10</v>
      </c>
      <c r="L606">
        <v>18</v>
      </c>
      <c r="M606">
        <v>25</v>
      </c>
      <c r="N606" t="s">
        <v>802</v>
      </c>
      <c r="O606" t="s">
        <v>893</v>
      </c>
      <c r="P606" t="s">
        <v>228</v>
      </c>
      <c r="Q606" t="s">
        <v>894</v>
      </c>
      <c r="R606" t="s">
        <v>895</v>
      </c>
      <c r="S606">
        <v>68</v>
      </c>
      <c r="T606">
        <v>94</v>
      </c>
      <c r="U606">
        <f t="shared" si="38"/>
        <v>-8.1787805155632</v>
      </c>
      <c r="V606">
        <f t="shared" si="39"/>
        <v>-983.735929223383</v>
      </c>
      <c r="W606">
        <f t="shared" si="40"/>
        <v>-8178.7805155632</v>
      </c>
      <c r="X606">
        <f t="shared" si="37"/>
        <v>-3.47609868983527</v>
      </c>
      <c r="Y606">
        <v>10</v>
      </c>
    </row>
    <row r="607" spans="1:25">
      <c r="A607" s="1">
        <v>678</v>
      </c>
      <c r="B607" t="s">
        <v>889</v>
      </c>
      <c r="C607" t="s">
        <v>986</v>
      </c>
      <c r="D607" t="s">
        <v>891</v>
      </c>
      <c r="E607" t="s">
        <v>987</v>
      </c>
      <c r="F607" t="s">
        <v>292</v>
      </c>
      <c r="G607">
        <v>10</v>
      </c>
      <c r="H607">
        <v>4</v>
      </c>
      <c r="I607">
        <v>36</v>
      </c>
      <c r="J607">
        <v>55</v>
      </c>
      <c r="K607">
        <v>10</v>
      </c>
      <c r="L607">
        <v>18</v>
      </c>
      <c r="M607">
        <v>25</v>
      </c>
      <c r="N607" t="s">
        <v>802</v>
      </c>
      <c r="O607" t="s">
        <v>893</v>
      </c>
      <c r="P607" t="s">
        <v>228</v>
      </c>
      <c r="Q607" t="s">
        <v>894</v>
      </c>
      <c r="R607" t="s">
        <v>895</v>
      </c>
      <c r="S607">
        <v>50</v>
      </c>
      <c r="T607">
        <v>82</v>
      </c>
      <c r="U607">
        <f t="shared" si="38"/>
        <v>-5.4436637067418</v>
      </c>
      <c r="V607">
        <f t="shared" si="39"/>
        <v>-654.758684958119</v>
      </c>
      <c r="W607">
        <f t="shared" si="40"/>
        <v>-5443.6637067418</v>
      </c>
      <c r="X607">
        <f t="shared" si="37"/>
        <v>-2.31363492918063</v>
      </c>
      <c r="Y607">
        <v>10</v>
      </c>
    </row>
    <row r="608" spans="1:25">
      <c r="A608" s="1">
        <v>679</v>
      </c>
      <c r="B608" t="s">
        <v>889</v>
      </c>
      <c r="C608" t="s">
        <v>988</v>
      </c>
      <c r="D608" t="s">
        <v>891</v>
      </c>
      <c r="E608" t="s">
        <v>989</v>
      </c>
      <c r="F608" t="s">
        <v>292</v>
      </c>
      <c r="G608">
        <v>10</v>
      </c>
      <c r="H608">
        <v>4</v>
      </c>
      <c r="I608">
        <v>36</v>
      </c>
      <c r="J608">
        <v>55</v>
      </c>
      <c r="K608">
        <v>10</v>
      </c>
      <c r="L608">
        <v>18</v>
      </c>
      <c r="M608">
        <v>25</v>
      </c>
      <c r="N608" t="s">
        <v>802</v>
      </c>
      <c r="O608" t="s">
        <v>893</v>
      </c>
      <c r="P608" t="s">
        <v>228</v>
      </c>
      <c r="Q608" t="s">
        <v>894</v>
      </c>
      <c r="R608" t="s">
        <v>895</v>
      </c>
      <c r="S608">
        <v>60</v>
      </c>
      <c r="T608">
        <v>95</v>
      </c>
      <c r="U608">
        <f t="shared" si="38"/>
        <v>-8.61985498183589</v>
      </c>
      <c r="V608">
        <f t="shared" si="39"/>
        <v>-1036.78794585469</v>
      </c>
      <c r="W608">
        <f t="shared" si="40"/>
        <v>-8619.85498183589</v>
      </c>
      <c r="X608">
        <f t="shared" si="37"/>
        <v>-3.66356164612965</v>
      </c>
      <c r="Y608">
        <v>10</v>
      </c>
    </row>
    <row r="609" spans="1:25">
      <c r="A609" s="1">
        <v>680</v>
      </c>
      <c r="B609" t="s">
        <v>889</v>
      </c>
      <c r="C609" t="s">
        <v>990</v>
      </c>
      <c r="D609" t="s">
        <v>891</v>
      </c>
      <c r="E609" t="s">
        <v>991</v>
      </c>
      <c r="F609" t="s">
        <v>292</v>
      </c>
      <c r="G609">
        <v>10</v>
      </c>
      <c r="H609">
        <v>4</v>
      </c>
      <c r="I609">
        <v>36</v>
      </c>
      <c r="J609">
        <v>55</v>
      </c>
      <c r="K609">
        <v>10</v>
      </c>
      <c r="L609">
        <v>18</v>
      </c>
      <c r="M609">
        <v>25</v>
      </c>
      <c r="N609" t="s">
        <v>802</v>
      </c>
      <c r="O609" t="s">
        <v>893</v>
      </c>
      <c r="P609" t="s">
        <v>228</v>
      </c>
      <c r="Q609" t="s">
        <v>894</v>
      </c>
      <c r="R609" t="s">
        <v>895</v>
      </c>
      <c r="S609">
        <v>71</v>
      </c>
      <c r="T609">
        <v>82</v>
      </c>
      <c r="U609">
        <f t="shared" si="38"/>
        <v>-5.4436637067418</v>
      </c>
      <c r="V609">
        <f t="shared" si="39"/>
        <v>-654.758684958119</v>
      </c>
      <c r="W609">
        <f t="shared" si="40"/>
        <v>-5443.6637067418</v>
      </c>
      <c r="X609">
        <f t="shared" si="37"/>
        <v>-2.31363492918063</v>
      </c>
      <c r="Y609">
        <v>10</v>
      </c>
    </row>
    <row r="610" spans="1:25">
      <c r="A610" s="1">
        <v>681</v>
      </c>
      <c r="B610" t="s">
        <v>889</v>
      </c>
      <c r="C610" t="s">
        <v>992</v>
      </c>
      <c r="D610" t="s">
        <v>891</v>
      </c>
      <c r="E610" t="s">
        <v>993</v>
      </c>
      <c r="F610" t="s">
        <v>292</v>
      </c>
      <c r="G610">
        <v>10</v>
      </c>
      <c r="H610">
        <v>4</v>
      </c>
      <c r="I610">
        <v>36</v>
      </c>
      <c r="J610">
        <v>55</v>
      </c>
      <c r="K610">
        <v>10</v>
      </c>
      <c r="L610">
        <v>18</v>
      </c>
      <c r="M610">
        <v>25</v>
      </c>
      <c r="N610" t="s">
        <v>802</v>
      </c>
      <c r="O610" t="s">
        <v>893</v>
      </c>
      <c r="P610" t="s">
        <v>228</v>
      </c>
      <c r="Q610" t="s">
        <v>894</v>
      </c>
      <c r="R610" t="s">
        <v>895</v>
      </c>
      <c r="S610">
        <v>73</v>
      </c>
      <c r="T610">
        <v>95</v>
      </c>
      <c r="U610">
        <f t="shared" si="38"/>
        <v>-8.61985498183589</v>
      </c>
      <c r="V610">
        <f t="shared" si="39"/>
        <v>-1036.78794585469</v>
      </c>
      <c r="W610">
        <f t="shared" si="40"/>
        <v>-8619.85498183589</v>
      </c>
      <c r="X610">
        <f t="shared" si="37"/>
        <v>-3.66356164612965</v>
      </c>
      <c r="Y610">
        <v>10</v>
      </c>
    </row>
    <row r="611" spans="1:25">
      <c r="A611" s="1">
        <v>682</v>
      </c>
      <c r="B611" t="s">
        <v>889</v>
      </c>
      <c r="C611" t="s">
        <v>994</v>
      </c>
      <c r="D611" t="s">
        <v>891</v>
      </c>
      <c r="E611" t="s">
        <v>995</v>
      </c>
      <c r="F611" t="s">
        <v>292</v>
      </c>
      <c r="G611">
        <v>10</v>
      </c>
      <c r="H611">
        <v>4</v>
      </c>
      <c r="I611">
        <v>36</v>
      </c>
      <c r="J611">
        <v>55</v>
      </c>
      <c r="K611">
        <v>10</v>
      </c>
      <c r="L611">
        <v>18</v>
      </c>
      <c r="M611">
        <v>25</v>
      </c>
      <c r="N611" t="s">
        <v>802</v>
      </c>
      <c r="O611" t="s">
        <v>893</v>
      </c>
      <c r="P611" t="s">
        <v>228</v>
      </c>
      <c r="Q611" t="s">
        <v>894</v>
      </c>
      <c r="R611" t="s">
        <v>895</v>
      </c>
      <c r="S611">
        <v>61</v>
      </c>
      <c r="T611">
        <v>95</v>
      </c>
      <c r="U611">
        <f t="shared" si="38"/>
        <v>-8.61985498183589</v>
      </c>
      <c r="V611">
        <f t="shared" si="39"/>
        <v>-1036.78794585469</v>
      </c>
      <c r="W611">
        <f t="shared" si="40"/>
        <v>-8619.85498183589</v>
      </c>
      <c r="X611">
        <f t="shared" si="37"/>
        <v>-3.66356164612965</v>
      </c>
      <c r="Y611">
        <v>10</v>
      </c>
    </row>
    <row r="612" spans="1:25">
      <c r="A612" s="1">
        <v>683</v>
      </c>
      <c r="B612" t="s">
        <v>889</v>
      </c>
      <c r="C612" t="s">
        <v>996</v>
      </c>
      <c r="D612" t="s">
        <v>891</v>
      </c>
      <c r="E612" t="s">
        <v>997</v>
      </c>
      <c r="F612" t="s">
        <v>292</v>
      </c>
      <c r="G612">
        <v>10</v>
      </c>
      <c r="H612">
        <v>4</v>
      </c>
      <c r="I612">
        <v>36</v>
      </c>
      <c r="J612">
        <v>55</v>
      </c>
      <c r="K612">
        <v>10</v>
      </c>
      <c r="L612">
        <v>18</v>
      </c>
      <c r="M612">
        <v>25</v>
      </c>
      <c r="N612" t="s">
        <v>802</v>
      </c>
      <c r="O612" t="s">
        <v>893</v>
      </c>
      <c r="P612" t="s">
        <v>228</v>
      </c>
      <c r="Q612" t="s">
        <v>894</v>
      </c>
      <c r="R612" t="s">
        <v>895</v>
      </c>
      <c r="S612">
        <v>75</v>
      </c>
      <c r="T612">
        <v>94</v>
      </c>
      <c r="U612">
        <f t="shared" si="38"/>
        <v>-8.1787805155632</v>
      </c>
      <c r="V612">
        <f t="shared" si="39"/>
        <v>-983.735929223383</v>
      </c>
      <c r="W612">
        <f t="shared" si="40"/>
        <v>-8178.7805155632</v>
      </c>
      <c r="X612">
        <f t="shared" si="37"/>
        <v>-3.47609868983527</v>
      </c>
      <c r="Y612">
        <v>10</v>
      </c>
    </row>
    <row r="613" spans="1:25">
      <c r="A613" s="1">
        <v>684</v>
      </c>
      <c r="B613" t="s">
        <v>889</v>
      </c>
      <c r="C613" t="s">
        <v>998</v>
      </c>
      <c r="D613" t="s">
        <v>903</v>
      </c>
      <c r="E613" t="s">
        <v>999</v>
      </c>
      <c r="F613" t="s">
        <v>292</v>
      </c>
      <c r="G613">
        <v>10</v>
      </c>
      <c r="H613">
        <v>4</v>
      </c>
      <c r="I613">
        <v>36</v>
      </c>
      <c r="J613">
        <v>55</v>
      </c>
      <c r="K613">
        <v>10</v>
      </c>
      <c r="L613">
        <v>18</v>
      </c>
      <c r="M613">
        <v>25</v>
      </c>
      <c r="N613" t="s">
        <v>802</v>
      </c>
      <c r="O613" t="s">
        <v>893</v>
      </c>
      <c r="P613" t="s">
        <v>228</v>
      </c>
      <c r="Q613" t="s">
        <v>894</v>
      </c>
      <c r="R613" t="s">
        <v>895</v>
      </c>
      <c r="S613">
        <v>84</v>
      </c>
      <c r="T613">
        <v>94</v>
      </c>
      <c r="U613">
        <f t="shared" si="38"/>
        <v>-8.1787805155632</v>
      </c>
      <c r="V613">
        <f t="shared" si="39"/>
        <v>-983.735929223383</v>
      </c>
      <c r="W613">
        <f t="shared" si="40"/>
        <v>-8178.7805155632</v>
      </c>
      <c r="X613">
        <f t="shared" si="37"/>
        <v>-3.47609868983527</v>
      </c>
      <c r="Y613">
        <v>10</v>
      </c>
    </row>
    <row r="614" spans="1:25">
      <c r="A614" s="1">
        <v>685</v>
      </c>
      <c r="B614" t="s">
        <v>889</v>
      </c>
      <c r="C614" t="s">
        <v>1000</v>
      </c>
      <c r="D614" t="s">
        <v>891</v>
      </c>
      <c r="E614" t="s">
        <v>1001</v>
      </c>
      <c r="F614" t="s">
        <v>292</v>
      </c>
      <c r="G614">
        <v>10</v>
      </c>
      <c r="H614">
        <v>4</v>
      </c>
      <c r="I614">
        <v>36</v>
      </c>
      <c r="J614">
        <v>55</v>
      </c>
      <c r="K614">
        <v>10</v>
      </c>
      <c r="L614">
        <v>18</v>
      </c>
      <c r="M614">
        <v>25</v>
      </c>
      <c r="N614" t="s">
        <v>802</v>
      </c>
      <c r="O614" t="s">
        <v>893</v>
      </c>
      <c r="P614" t="s">
        <v>228</v>
      </c>
      <c r="Q614" t="s">
        <v>894</v>
      </c>
      <c r="R614" t="s">
        <v>895</v>
      </c>
      <c r="S614">
        <v>67</v>
      </c>
      <c r="T614">
        <v>93</v>
      </c>
      <c r="U614">
        <f t="shared" si="38"/>
        <v>-7.80392571812055</v>
      </c>
      <c r="V614">
        <f t="shared" si="39"/>
        <v>-938.648751277429</v>
      </c>
      <c r="W614">
        <f t="shared" si="40"/>
        <v>-7803.92571812055</v>
      </c>
      <c r="X614">
        <f t="shared" si="37"/>
        <v>-3.31678003984957</v>
      </c>
      <c r="Y614">
        <v>10</v>
      </c>
    </row>
    <row r="615" spans="1:25">
      <c r="A615" s="1">
        <v>686</v>
      </c>
      <c r="B615" t="s">
        <v>889</v>
      </c>
      <c r="C615" t="s">
        <v>1002</v>
      </c>
      <c r="D615" t="s">
        <v>891</v>
      </c>
      <c r="E615" t="s">
        <v>1003</v>
      </c>
      <c r="F615" t="s">
        <v>292</v>
      </c>
      <c r="G615">
        <v>10</v>
      </c>
      <c r="H615">
        <v>4</v>
      </c>
      <c r="I615">
        <v>36</v>
      </c>
      <c r="J615">
        <v>55</v>
      </c>
      <c r="K615">
        <v>10</v>
      </c>
      <c r="L615">
        <v>18</v>
      </c>
      <c r="M615">
        <v>25</v>
      </c>
      <c r="N615" t="s">
        <v>802</v>
      </c>
      <c r="O615" t="s">
        <v>893</v>
      </c>
      <c r="P615" t="s">
        <v>228</v>
      </c>
      <c r="Q615" t="s">
        <v>894</v>
      </c>
      <c r="R615" t="s">
        <v>895</v>
      </c>
      <c r="S615">
        <v>73</v>
      </c>
      <c r="T615">
        <v>92</v>
      </c>
      <c r="U615">
        <f t="shared" si="38"/>
        <v>-7.47752209138013</v>
      </c>
      <c r="V615">
        <f t="shared" si="39"/>
        <v>-899.389233988469</v>
      </c>
      <c r="W615">
        <f t="shared" si="40"/>
        <v>-7477.52209138013</v>
      </c>
      <c r="X615">
        <f t="shared" si="37"/>
        <v>-3.17805383034795</v>
      </c>
      <c r="Y615">
        <v>10</v>
      </c>
    </row>
    <row r="616" spans="1:25">
      <c r="A616" s="1">
        <v>687</v>
      </c>
      <c r="B616" t="s">
        <v>889</v>
      </c>
      <c r="C616" t="s">
        <v>1004</v>
      </c>
      <c r="D616" t="s">
        <v>891</v>
      </c>
      <c r="E616" t="s">
        <v>1005</v>
      </c>
      <c r="F616" t="s">
        <v>292</v>
      </c>
      <c r="G616">
        <v>10</v>
      </c>
      <c r="H616">
        <v>4</v>
      </c>
      <c r="I616">
        <v>36</v>
      </c>
      <c r="J616">
        <v>55</v>
      </c>
      <c r="K616">
        <v>10</v>
      </c>
      <c r="L616">
        <v>18</v>
      </c>
      <c r="M616">
        <v>25</v>
      </c>
      <c r="N616" t="s">
        <v>802</v>
      </c>
      <c r="O616" t="s">
        <v>893</v>
      </c>
      <c r="P616" t="s">
        <v>228</v>
      </c>
      <c r="Q616" t="s">
        <v>894</v>
      </c>
      <c r="R616" t="s">
        <v>895</v>
      </c>
      <c r="S616">
        <v>70</v>
      </c>
      <c r="T616">
        <v>92</v>
      </c>
      <c r="U616">
        <f t="shared" si="38"/>
        <v>-7.47752209138013</v>
      </c>
      <c r="V616">
        <f t="shared" si="39"/>
        <v>-899.389233988469</v>
      </c>
      <c r="W616">
        <f t="shared" si="40"/>
        <v>-7477.52209138013</v>
      </c>
      <c r="X616">
        <f t="shared" si="37"/>
        <v>-3.17805383034795</v>
      </c>
      <c r="Y616">
        <v>10</v>
      </c>
    </row>
    <row r="617" spans="1:25">
      <c r="A617" s="1">
        <v>688</v>
      </c>
      <c r="B617" t="s">
        <v>889</v>
      </c>
      <c r="C617" t="s">
        <v>1006</v>
      </c>
      <c r="D617" t="s">
        <v>891</v>
      </c>
      <c r="E617" t="s">
        <v>1007</v>
      </c>
      <c r="F617" t="s">
        <v>292</v>
      </c>
      <c r="G617">
        <v>10</v>
      </c>
      <c r="H617">
        <v>4</v>
      </c>
      <c r="I617">
        <v>36</v>
      </c>
      <c r="J617">
        <v>55</v>
      </c>
      <c r="K617">
        <v>10</v>
      </c>
      <c r="L617">
        <v>18</v>
      </c>
      <c r="M617">
        <v>25</v>
      </c>
      <c r="N617" t="s">
        <v>802</v>
      </c>
      <c r="O617" t="s">
        <v>893</v>
      </c>
      <c r="P617" t="s">
        <v>228</v>
      </c>
      <c r="Q617" t="s">
        <v>894</v>
      </c>
      <c r="R617" t="s">
        <v>895</v>
      </c>
      <c r="S617">
        <v>70</v>
      </c>
      <c r="T617">
        <v>92</v>
      </c>
      <c r="U617">
        <f t="shared" si="38"/>
        <v>-7.47752209138013</v>
      </c>
      <c r="V617">
        <f t="shared" si="39"/>
        <v>-899.389233988469</v>
      </c>
      <c r="W617">
        <f t="shared" si="40"/>
        <v>-7477.52209138013</v>
      </c>
      <c r="X617">
        <f t="shared" si="37"/>
        <v>-3.17805383034795</v>
      </c>
      <c r="Y617">
        <v>10</v>
      </c>
    </row>
    <row r="618" spans="1:25">
      <c r="A618" s="1">
        <v>689</v>
      </c>
      <c r="B618" t="s">
        <v>889</v>
      </c>
      <c r="C618" t="s">
        <v>1008</v>
      </c>
      <c r="D618" t="s">
        <v>891</v>
      </c>
      <c r="E618" t="s">
        <v>1009</v>
      </c>
      <c r="F618" t="s">
        <v>292</v>
      </c>
      <c r="G618">
        <v>10</v>
      </c>
      <c r="H618">
        <v>4</v>
      </c>
      <c r="I618">
        <v>36</v>
      </c>
      <c r="J618">
        <v>55</v>
      </c>
      <c r="K618">
        <v>10</v>
      </c>
      <c r="L618">
        <v>18</v>
      </c>
      <c r="M618">
        <v>25</v>
      </c>
      <c r="N618" t="s">
        <v>802</v>
      </c>
      <c r="O618" t="s">
        <v>893</v>
      </c>
      <c r="P618" t="s">
        <v>228</v>
      </c>
      <c r="Q618" t="s">
        <v>894</v>
      </c>
      <c r="R618" t="s">
        <v>895</v>
      </c>
      <c r="S618">
        <v>46</v>
      </c>
      <c r="T618">
        <v>94</v>
      </c>
      <c r="U618">
        <f t="shared" si="38"/>
        <v>-8.1787805155632</v>
      </c>
      <c r="V618">
        <f t="shared" si="39"/>
        <v>-983.735929223383</v>
      </c>
      <c r="W618">
        <f t="shared" si="40"/>
        <v>-8178.7805155632</v>
      </c>
      <c r="X618">
        <f t="shared" si="37"/>
        <v>-3.47609868983527</v>
      </c>
      <c r="Y618">
        <v>10</v>
      </c>
    </row>
    <row r="619" spans="1:25">
      <c r="A619" s="1">
        <v>690</v>
      </c>
      <c r="B619" t="s">
        <v>889</v>
      </c>
      <c r="C619" t="s">
        <v>1010</v>
      </c>
      <c r="D619" t="s">
        <v>891</v>
      </c>
      <c r="E619" t="s">
        <v>1011</v>
      </c>
      <c r="F619" t="s">
        <v>292</v>
      </c>
      <c r="G619">
        <v>10</v>
      </c>
      <c r="H619">
        <v>4</v>
      </c>
      <c r="I619">
        <v>36</v>
      </c>
      <c r="J619">
        <v>55</v>
      </c>
      <c r="K619">
        <v>10</v>
      </c>
      <c r="L619">
        <v>18</v>
      </c>
      <c r="M619">
        <v>25</v>
      </c>
      <c r="N619" t="s">
        <v>802</v>
      </c>
      <c r="O619" t="s">
        <v>893</v>
      </c>
      <c r="P619" t="s">
        <v>228</v>
      </c>
      <c r="Q619" t="s">
        <v>894</v>
      </c>
      <c r="R619" t="s">
        <v>895</v>
      </c>
      <c r="S619">
        <v>44</v>
      </c>
      <c r="T619">
        <v>98</v>
      </c>
      <c r="U619">
        <f t="shared" si="38"/>
        <v>-10.8116828808274</v>
      </c>
      <c r="V619">
        <f t="shared" si="39"/>
        <v>-1300.41891758809</v>
      </c>
      <c r="W619">
        <f t="shared" si="40"/>
        <v>-10811.6828808274</v>
      </c>
      <c r="X619">
        <f t="shared" si="37"/>
        <v>-4.59511985013459</v>
      </c>
      <c r="Y619">
        <v>10</v>
      </c>
    </row>
    <row r="620" spans="1:25">
      <c r="A620" s="1">
        <v>691</v>
      </c>
      <c r="B620" t="s">
        <v>889</v>
      </c>
      <c r="C620" t="s">
        <v>1012</v>
      </c>
      <c r="D620" t="s">
        <v>1013</v>
      </c>
      <c r="E620" t="s">
        <v>957</v>
      </c>
      <c r="F620" t="s">
        <v>292</v>
      </c>
      <c r="G620">
        <v>10</v>
      </c>
      <c r="H620">
        <v>4</v>
      </c>
      <c r="I620">
        <v>36</v>
      </c>
      <c r="J620">
        <v>55</v>
      </c>
      <c r="K620">
        <v>10</v>
      </c>
      <c r="L620">
        <v>18</v>
      </c>
      <c r="M620">
        <v>25</v>
      </c>
      <c r="N620" t="s">
        <v>802</v>
      </c>
      <c r="O620" t="s">
        <v>893</v>
      </c>
      <c r="P620" t="s">
        <v>228</v>
      </c>
      <c r="Q620" t="s">
        <v>894</v>
      </c>
      <c r="R620" t="s">
        <v>895</v>
      </c>
      <c r="S620">
        <v>78</v>
      </c>
      <c r="T620">
        <v>88</v>
      </c>
      <c r="U620">
        <f t="shared" si="38"/>
        <v>-6.47398287971451</v>
      </c>
      <c r="V620">
        <f t="shared" si="39"/>
        <v>-778.684493590872</v>
      </c>
      <c r="W620">
        <f t="shared" si="40"/>
        <v>-6473.98287971451</v>
      </c>
      <c r="X620">
        <f t="shared" si="37"/>
        <v>-2.75153531304195</v>
      </c>
      <c r="Y620">
        <v>10</v>
      </c>
    </row>
    <row r="621" spans="1:25">
      <c r="A621" s="1">
        <v>692</v>
      </c>
      <c r="B621" t="s">
        <v>889</v>
      </c>
      <c r="C621" t="s">
        <v>1014</v>
      </c>
      <c r="D621" t="s">
        <v>1015</v>
      </c>
      <c r="E621" t="s">
        <v>957</v>
      </c>
      <c r="F621" t="s">
        <v>292</v>
      </c>
      <c r="G621">
        <v>10</v>
      </c>
      <c r="H621">
        <v>4</v>
      </c>
      <c r="I621">
        <v>36</v>
      </c>
      <c r="J621">
        <v>55</v>
      </c>
      <c r="K621">
        <v>10</v>
      </c>
      <c r="L621">
        <v>18</v>
      </c>
      <c r="M621">
        <v>25</v>
      </c>
      <c r="N621" t="s">
        <v>802</v>
      </c>
      <c r="O621" t="s">
        <v>893</v>
      </c>
      <c r="P621" t="s">
        <v>228</v>
      </c>
      <c r="Q621" t="s">
        <v>894</v>
      </c>
      <c r="R621" t="s">
        <v>895</v>
      </c>
      <c r="S621">
        <v>39</v>
      </c>
      <c r="T621">
        <v>87</v>
      </c>
      <c r="U621">
        <f t="shared" si="38"/>
        <v>-6.27310480737405</v>
      </c>
      <c r="V621">
        <f t="shared" si="39"/>
        <v>-754.523070408233</v>
      </c>
      <c r="W621">
        <f t="shared" si="40"/>
        <v>-6273.10480737405</v>
      </c>
      <c r="X621">
        <f t="shared" si="37"/>
        <v>-2.66615925939305</v>
      </c>
      <c r="Y621">
        <v>10</v>
      </c>
    </row>
    <row r="622" spans="1:25">
      <c r="A622" s="1">
        <v>693</v>
      </c>
      <c r="B622" t="s">
        <v>889</v>
      </c>
      <c r="C622" t="s">
        <v>890</v>
      </c>
      <c r="D622" t="s">
        <v>891</v>
      </c>
      <c r="E622" t="s">
        <v>892</v>
      </c>
      <c r="F622" t="s">
        <v>292</v>
      </c>
      <c r="G622">
        <v>10</v>
      </c>
      <c r="H622">
        <v>4</v>
      </c>
      <c r="I622">
        <v>37</v>
      </c>
      <c r="J622">
        <v>55</v>
      </c>
      <c r="K622">
        <v>10</v>
      </c>
      <c r="L622">
        <v>18</v>
      </c>
      <c r="M622">
        <v>25</v>
      </c>
      <c r="N622" t="s">
        <v>1016</v>
      </c>
      <c r="O622" t="s">
        <v>893</v>
      </c>
      <c r="P622" t="s">
        <v>228</v>
      </c>
      <c r="Q622" t="s">
        <v>894</v>
      </c>
      <c r="R622" t="s">
        <v>895</v>
      </c>
      <c r="S622">
        <v>78</v>
      </c>
      <c r="T622">
        <v>93</v>
      </c>
      <c r="U622">
        <f t="shared" si="38"/>
        <v>-7.80392571812055</v>
      </c>
      <c r="V622">
        <f t="shared" si="39"/>
        <v>-938.648751277429</v>
      </c>
      <c r="W622">
        <f t="shared" si="40"/>
        <v>-7803.92571812055</v>
      </c>
      <c r="X622">
        <f t="shared" si="37"/>
        <v>-3.31678003984957</v>
      </c>
      <c r="Y622">
        <v>10</v>
      </c>
    </row>
    <row r="623" spans="1:25">
      <c r="A623" s="1">
        <v>694</v>
      </c>
      <c r="B623" t="s">
        <v>889</v>
      </c>
      <c r="C623" t="s">
        <v>890</v>
      </c>
      <c r="D623" t="s">
        <v>891</v>
      </c>
      <c r="E623" t="s">
        <v>892</v>
      </c>
      <c r="F623" t="s">
        <v>292</v>
      </c>
      <c r="G623">
        <v>10</v>
      </c>
      <c r="H623">
        <v>4</v>
      </c>
      <c r="I623">
        <v>27</v>
      </c>
      <c r="J623">
        <v>55</v>
      </c>
      <c r="K623">
        <v>10</v>
      </c>
      <c r="L623">
        <v>18</v>
      </c>
      <c r="M623">
        <v>25</v>
      </c>
      <c r="N623" t="s">
        <v>1017</v>
      </c>
      <c r="O623" t="s">
        <v>893</v>
      </c>
      <c r="P623" t="s">
        <v>228</v>
      </c>
      <c r="Q623" t="s">
        <v>894</v>
      </c>
      <c r="R623" t="s">
        <v>895</v>
      </c>
      <c r="S623">
        <v>73</v>
      </c>
      <c r="T623">
        <v>93</v>
      </c>
      <c r="U623">
        <f t="shared" si="38"/>
        <v>-7.80392571812055</v>
      </c>
      <c r="V623">
        <f t="shared" si="39"/>
        <v>-938.648751277429</v>
      </c>
      <c r="W623">
        <f t="shared" si="40"/>
        <v>-7803.92571812055</v>
      </c>
      <c r="X623">
        <f t="shared" si="37"/>
        <v>-3.31678003984957</v>
      </c>
      <c r="Y623">
        <v>10</v>
      </c>
    </row>
    <row r="624" spans="1:25">
      <c r="A624" s="1">
        <v>695</v>
      </c>
      <c r="B624" t="s">
        <v>889</v>
      </c>
      <c r="C624" t="s">
        <v>890</v>
      </c>
      <c r="D624" t="s">
        <v>891</v>
      </c>
      <c r="E624" t="s">
        <v>892</v>
      </c>
      <c r="F624" t="s">
        <v>292</v>
      </c>
      <c r="G624">
        <v>10</v>
      </c>
      <c r="H624">
        <v>4</v>
      </c>
      <c r="I624">
        <v>61</v>
      </c>
      <c r="J624">
        <v>55</v>
      </c>
      <c r="K624">
        <v>10</v>
      </c>
      <c r="L624">
        <v>18</v>
      </c>
      <c r="M624">
        <v>25</v>
      </c>
      <c r="N624" t="s">
        <v>1018</v>
      </c>
      <c r="O624" t="s">
        <v>893</v>
      </c>
      <c r="P624" t="s">
        <v>228</v>
      </c>
      <c r="Q624" t="s">
        <v>894</v>
      </c>
      <c r="R624" t="s">
        <v>895</v>
      </c>
      <c r="S624">
        <v>72</v>
      </c>
      <c r="T624">
        <v>93</v>
      </c>
      <c r="U624">
        <f t="shared" si="38"/>
        <v>-7.80392571812055</v>
      </c>
      <c r="V624">
        <f t="shared" si="39"/>
        <v>-938.648751277429</v>
      </c>
      <c r="W624">
        <f t="shared" si="40"/>
        <v>-7803.92571812055</v>
      </c>
      <c r="X624">
        <f t="shared" si="37"/>
        <v>-3.31678003984957</v>
      </c>
      <c r="Y624">
        <v>10</v>
      </c>
    </row>
    <row r="625" spans="1:25">
      <c r="A625" s="1">
        <v>696</v>
      </c>
      <c r="B625" t="s">
        <v>889</v>
      </c>
      <c r="C625" t="s">
        <v>890</v>
      </c>
      <c r="D625" t="s">
        <v>891</v>
      </c>
      <c r="E625" t="s">
        <v>892</v>
      </c>
      <c r="F625" t="s">
        <v>292</v>
      </c>
      <c r="G625">
        <v>10</v>
      </c>
      <c r="H625">
        <v>4</v>
      </c>
      <c r="I625">
        <v>3</v>
      </c>
      <c r="J625">
        <v>55</v>
      </c>
      <c r="K625">
        <v>10</v>
      </c>
      <c r="L625">
        <v>18</v>
      </c>
      <c r="M625">
        <v>25</v>
      </c>
      <c r="N625" t="s">
        <v>1019</v>
      </c>
      <c r="O625" t="s">
        <v>893</v>
      </c>
      <c r="P625" t="s">
        <v>228</v>
      </c>
      <c r="Q625" t="s">
        <v>894</v>
      </c>
      <c r="R625" t="s">
        <v>895</v>
      </c>
      <c r="S625">
        <v>32</v>
      </c>
      <c r="T625">
        <v>96</v>
      </c>
      <c r="U625">
        <f t="shared" si="38"/>
        <v>-9.15691609025316</v>
      </c>
      <c r="V625">
        <f t="shared" si="39"/>
        <v>-1101.38514436531</v>
      </c>
      <c r="W625">
        <f t="shared" si="40"/>
        <v>-9156.91609025316</v>
      </c>
      <c r="X625">
        <f t="shared" si="37"/>
        <v>-3.89182029811063</v>
      </c>
      <c r="Y625">
        <v>10</v>
      </c>
    </row>
    <row r="626" spans="1:25">
      <c r="A626" s="1">
        <v>697</v>
      </c>
      <c r="B626" t="s">
        <v>889</v>
      </c>
      <c r="C626" t="s">
        <v>890</v>
      </c>
      <c r="D626" t="s">
        <v>891</v>
      </c>
      <c r="E626" t="s">
        <v>892</v>
      </c>
      <c r="F626" t="s">
        <v>299</v>
      </c>
      <c r="G626">
        <v>10</v>
      </c>
      <c r="H626">
        <v>8</v>
      </c>
      <c r="I626">
        <v>36</v>
      </c>
      <c r="J626">
        <v>55</v>
      </c>
      <c r="K626">
        <v>10</v>
      </c>
      <c r="L626">
        <v>18</v>
      </c>
      <c r="M626">
        <v>25</v>
      </c>
      <c r="N626" t="s">
        <v>802</v>
      </c>
      <c r="O626" t="s">
        <v>893</v>
      </c>
      <c r="P626" t="s">
        <v>228</v>
      </c>
      <c r="Q626" t="s">
        <v>894</v>
      </c>
      <c r="R626" t="s">
        <v>895</v>
      </c>
      <c r="S626">
        <v>14</v>
      </c>
      <c r="T626">
        <v>83</v>
      </c>
      <c r="U626">
        <f t="shared" si="38"/>
        <v>-5.59104199342398</v>
      </c>
      <c r="V626">
        <f t="shared" si="39"/>
        <v>-672.485204886213</v>
      </c>
      <c r="W626">
        <f t="shared" si="40"/>
        <v>-5591.04199342398</v>
      </c>
      <c r="X626">
        <f t="shared" si="37"/>
        <v>-2.37627280878521</v>
      </c>
      <c r="Y626">
        <v>10</v>
      </c>
    </row>
    <row r="627" spans="1:25">
      <c r="A627" s="1">
        <v>698</v>
      </c>
      <c r="B627" t="s">
        <v>889</v>
      </c>
      <c r="C627" t="s">
        <v>890</v>
      </c>
      <c r="D627" t="s">
        <v>891</v>
      </c>
      <c r="E627" t="s">
        <v>892</v>
      </c>
      <c r="F627" t="s">
        <v>292</v>
      </c>
      <c r="G627">
        <v>10</v>
      </c>
      <c r="H627">
        <v>4</v>
      </c>
      <c r="I627">
        <v>36</v>
      </c>
      <c r="J627">
        <v>55</v>
      </c>
      <c r="K627">
        <v>14</v>
      </c>
      <c r="L627">
        <v>18</v>
      </c>
      <c r="M627">
        <v>25</v>
      </c>
      <c r="N627" t="s">
        <v>802</v>
      </c>
      <c r="O627" t="s">
        <v>893</v>
      </c>
      <c r="P627" t="s">
        <v>123</v>
      </c>
      <c r="Q627" t="s">
        <v>894</v>
      </c>
      <c r="R627" t="s">
        <v>895</v>
      </c>
      <c r="S627">
        <v>63</v>
      </c>
      <c r="T627">
        <v>94</v>
      </c>
      <c r="U627">
        <f t="shared" si="38"/>
        <v>-8.1787805155632</v>
      </c>
      <c r="V627">
        <f t="shared" si="39"/>
        <v>-983.735929223383</v>
      </c>
      <c r="W627">
        <f t="shared" si="40"/>
        <v>-8178.7805155632</v>
      </c>
      <c r="X627">
        <f t="shared" si="37"/>
        <v>-3.47609868983527</v>
      </c>
      <c r="Y627">
        <v>10</v>
      </c>
    </row>
    <row r="628" spans="1:25">
      <c r="A628" s="1">
        <v>700</v>
      </c>
      <c r="B628" t="s">
        <v>1020</v>
      </c>
      <c r="C628" t="s">
        <v>890</v>
      </c>
      <c r="D628" t="s">
        <v>891</v>
      </c>
      <c r="E628" t="s">
        <v>892</v>
      </c>
      <c r="F628" t="s">
        <v>292</v>
      </c>
      <c r="G628">
        <v>10</v>
      </c>
      <c r="H628">
        <v>4</v>
      </c>
      <c r="I628">
        <v>36</v>
      </c>
      <c r="J628">
        <v>55</v>
      </c>
      <c r="K628">
        <v>10</v>
      </c>
      <c r="L628">
        <v>18</v>
      </c>
      <c r="M628">
        <v>25</v>
      </c>
      <c r="N628" t="s">
        <v>802</v>
      </c>
      <c r="O628" t="s">
        <v>893</v>
      </c>
      <c r="P628" t="s">
        <v>228</v>
      </c>
      <c r="Q628" t="s">
        <v>894</v>
      </c>
      <c r="R628" t="s">
        <v>895</v>
      </c>
      <c r="S628">
        <v>77</v>
      </c>
      <c r="T628">
        <v>94</v>
      </c>
      <c r="U628">
        <f t="shared" si="38"/>
        <v>-8.1787805155632</v>
      </c>
      <c r="V628">
        <f t="shared" si="39"/>
        <v>-983.735929223383</v>
      </c>
      <c r="W628">
        <f t="shared" si="40"/>
        <v>-8178.7805155632</v>
      </c>
      <c r="X628">
        <f t="shared" si="37"/>
        <v>-3.47609868983527</v>
      </c>
      <c r="Y628">
        <v>10</v>
      </c>
    </row>
    <row r="629" spans="1:25">
      <c r="A629" s="1">
        <v>701</v>
      </c>
      <c r="B629" t="s">
        <v>1021</v>
      </c>
      <c r="C629" t="s">
        <v>890</v>
      </c>
      <c r="D629" t="s">
        <v>891</v>
      </c>
      <c r="E629" t="s">
        <v>892</v>
      </c>
      <c r="F629" t="s">
        <v>292</v>
      </c>
      <c r="G629">
        <v>10</v>
      </c>
      <c r="H629">
        <v>4</v>
      </c>
      <c r="I629">
        <v>36</v>
      </c>
      <c r="J629">
        <v>55</v>
      </c>
      <c r="K629">
        <v>10</v>
      </c>
      <c r="L629">
        <v>18</v>
      </c>
      <c r="M629">
        <v>25</v>
      </c>
      <c r="N629" t="s">
        <v>802</v>
      </c>
      <c r="O629" t="s">
        <v>893</v>
      </c>
      <c r="P629" t="s">
        <v>228</v>
      </c>
      <c r="Q629" t="s">
        <v>894</v>
      </c>
      <c r="R629" t="s">
        <v>895</v>
      </c>
      <c r="S629">
        <v>72</v>
      </c>
      <c r="T629">
        <v>89</v>
      </c>
      <c r="U629">
        <f t="shared" si="38"/>
        <v>-6.69119069800034</v>
      </c>
      <c r="V629">
        <f t="shared" si="39"/>
        <v>-804.81004305994</v>
      </c>
      <c r="W629">
        <f t="shared" si="40"/>
        <v>-6691.19069800034</v>
      </c>
      <c r="X629">
        <f t="shared" si="37"/>
        <v>-2.84385174226127</v>
      </c>
      <c r="Y629">
        <v>10</v>
      </c>
    </row>
    <row r="630" spans="1:25">
      <c r="A630" s="1">
        <v>702</v>
      </c>
      <c r="B630" t="s">
        <v>1022</v>
      </c>
      <c r="C630" t="s">
        <v>890</v>
      </c>
      <c r="D630" t="s">
        <v>891</v>
      </c>
      <c r="E630" t="s">
        <v>892</v>
      </c>
      <c r="F630" t="s">
        <v>292</v>
      </c>
      <c r="G630">
        <v>10</v>
      </c>
      <c r="H630">
        <v>4</v>
      </c>
      <c r="I630">
        <v>36</v>
      </c>
      <c r="J630">
        <v>55</v>
      </c>
      <c r="K630">
        <v>10</v>
      </c>
      <c r="L630">
        <v>18</v>
      </c>
      <c r="M630">
        <v>25</v>
      </c>
      <c r="N630" t="s">
        <v>802</v>
      </c>
      <c r="O630" t="s">
        <v>893</v>
      </c>
      <c r="P630" t="s">
        <v>228</v>
      </c>
      <c r="Q630" t="s">
        <v>894</v>
      </c>
      <c r="R630" t="s">
        <v>895</v>
      </c>
      <c r="S630">
        <v>88</v>
      </c>
      <c r="T630">
        <v>32</v>
      </c>
      <c r="U630">
        <f t="shared" si="38"/>
        <v>-1.56063975896435</v>
      </c>
      <c r="V630">
        <f t="shared" si="39"/>
        <v>-187.712263527105</v>
      </c>
      <c r="W630">
        <f t="shared" si="40"/>
        <v>-1560.63975896435</v>
      </c>
      <c r="X630">
        <f t="shared" si="37"/>
        <v>-0.663294217410264</v>
      </c>
      <c r="Y630">
        <v>10</v>
      </c>
    </row>
    <row r="631" spans="1:25">
      <c r="A631" s="1">
        <v>703</v>
      </c>
      <c r="B631" t="s">
        <v>1023</v>
      </c>
      <c r="C631" t="s">
        <v>890</v>
      </c>
      <c r="D631" t="s">
        <v>891</v>
      </c>
      <c r="E631" t="s">
        <v>892</v>
      </c>
      <c r="F631" t="s">
        <v>292</v>
      </c>
      <c r="G631">
        <v>10</v>
      </c>
      <c r="H631">
        <v>4</v>
      </c>
      <c r="I631">
        <v>36</v>
      </c>
      <c r="J631">
        <v>55</v>
      </c>
      <c r="K631">
        <v>10</v>
      </c>
      <c r="L631">
        <v>18</v>
      </c>
      <c r="M631">
        <v>25</v>
      </c>
      <c r="N631" t="s">
        <v>802</v>
      </c>
      <c r="O631" t="s">
        <v>893</v>
      </c>
      <c r="P631" t="s">
        <v>228</v>
      </c>
      <c r="Q631" t="s">
        <v>894</v>
      </c>
      <c r="R631" t="s">
        <v>895</v>
      </c>
      <c r="S631">
        <v>84</v>
      </c>
      <c r="T631">
        <v>42</v>
      </c>
      <c r="U631">
        <f t="shared" si="38"/>
        <v>-2.10671509972155</v>
      </c>
      <c r="V631">
        <f t="shared" si="39"/>
        <v>-253.39368531652</v>
      </c>
      <c r="W631">
        <f t="shared" si="40"/>
        <v>-2106.71509972155</v>
      </c>
      <c r="X631">
        <f t="shared" si="37"/>
        <v>-0.895384047054841</v>
      </c>
      <c r="Y631">
        <v>10</v>
      </c>
    </row>
    <row r="632" spans="1:25">
      <c r="A632" s="1">
        <v>704</v>
      </c>
      <c r="B632" t="s">
        <v>696</v>
      </c>
      <c r="C632" t="s">
        <v>890</v>
      </c>
      <c r="D632" t="s">
        <v>891</v>
      </c>
      <c r="E632" t="s">
        <v>892</v>
      </c>
      <c r="F632" t="s">
        <v>292</v>
      </c>
      <c r="G632">
        <v>10</v>
      </c>
      <c r="H632">
        <v>4</v>
      </c>
      <c r="I632">
        <v>36</v>
      </c>
      <c r="J632">
        <v>55</v>
      </c>
      <c r="K632">
        <v>10</v>
      </c>
      <c r="L632">
        <v>18</v>
      </c>
      <c r="M632">
        <v>25</v>
      </c>
      <c r="N632" t="s">
        <v>802</v>
      </c>
      <c r="O632" t="s">
        <v>893</v>
      </c>
      <c r="P632" t="s">
        <v>228</v>
      </c>
      <c r="Q632" t="s">
        <v>894</v>
      </c>
      <c r="R632" t="s">
        <v>895</v>
      </c>
      <c r="S632">
        <v>90</v>
      </c>
      <c r="T632">
        <v>53</v>
      </c>
      <c r="U632">
        <f t="shared" si="38"/>
        <v>-2.77706024214852</v>
      </c>
      <c r="V632">
        <f t="shared" si="39"/>
        <v>-334.022160470113</v>
      </c>
      <c r="W632">
        <f t="shared" si="40"/>
        <v>-2777.06024214852</v>
      </c>
      <c r="X632">
        <f t="shared" si="37"/>
        <v>-1.18029031968238</v>
      </c>
      <c r="Y632">
        <v>10</v>
      </c>
    </row>
    <row r="633" spans="1:25">
      <c r="A633" s="1">
        <v>705</v>
      </c>
      <c r="B633" t="s">
        <v>1024</v>
      </c>
      <c r="C633" t="s">
        <v>890</v>
      </c>
      <c r="D633" t="s">
        <v>891</v>
      </c>
      <c r="E633" t="s">
        <v>892</v>
      </c>
      <c r="F633" t="s">
        <v>292</v>
      </c>
      <c r="G633">
        <v>10</v>
      </c>
      <c r="H633">
        <v>4</v>
      </c>
      <c r="I633">
        <v>36</v>
      </c>
      <c r="J633">
        <v>55</v>
      </c>
      <c r="K633">
        <v>10</v>
      </c>
      <c r="L633">
        <v>18</v>
      </c>
      <c r="M633">
        <v>25</v>
      </c>
      <c r="N633" t="s">
        <v>802</v>
      </c>
      <c r="O633" t="s">
        <v>893</v>
      </c>
      <c r="P633" t="s">
        <v>228</v>
      </c>
      <c r="Q633" t="s">
        <v>894</v>
      </c>
      <c r="R633" t="s">
        <v>895</v>
      </c>
      <c r="S633">
        <v>9</v>
      </c>
      <c r="T633">
        <v>5</v>
      </c>
      <c r="U633">
        <f t="shared" si="38"/>
        <v>-0.235482566467299</v>
      </c>
      <c r="V633">
        <f t="shared" si="39"/>
        <v>-28.3236187716261</v>
      </c>
      <c r="W633">
        <f t="shared" si="40"/>
        <v>-235.482566467299</v>
      </c>
      <c r="X633">
        <f t="shared" ref="X633:X695" si="41">-LN((1+T633*0.01)/(1-T633*0.01))</f>
        <v>-0.100083458556983</v>
      </c>
      <c r="Y633">
        <v>10</v>
      </c>
    </row>
    <row r="634" spans="1:25">
      <c r="A634" s="1">
        <v>707</v>
      </c>
      <c r="B634" t="s">
        <v>882</v>
      </c>
      <c r="C634" t="s">
        <v>890</v>
      </c>
      <c r="D634" t="s">
        <v>891</v>
      </c>
      <c r="E634" t="s">
        <v>892</v>
      </c>
      <c r="F634" t="s">
        <v>292</v>
      </c>
      <c r="G634">
        <v>10</v>
      </c>
      <c r="H634">
        <v>4</v>
      </c>
      <c r="I634">
        <v>36</v>
      </c>
      <c r="J634">
        <v>55</v>
      </c>
      <c r="K634">
        <v>10</v>
      </c>
      <c r="L634">
        <v>18</v>
      </c>
      <c r="M634">
        <v>25</v>
      </c>
      <c r="N634" t="s">
        <v>802</v>
      </c>
      <c r="O634" t="s">
        <v>893</v>
      </c>
      <c r="P634" t="s">
        <v>228</v>
      </c>
      <c r="Q634" t="s">
        <v>894</v>
      </c>
      <c r="R634" t="s">
        <v>895</v>
      </c>
      <c r="S634">
        <v>76</v>
      </c>
      <c r="T634">
        <v>28</v>
      </c>
      <c r="U634">
        <f t="shared" si="38"/>
        <v>-1.35375243270608</v>
      </c>
      <c r="V634">
        <f t="shared" si="39"/>
        <v>-162.828053007708</v>
      </c>
      <c r="W634">
        <f t="shared" si="40"/>
        <v>-1353.75243270608</v>
      </c>
      <c r="X634">
        <f t="shared" si="41"/>
        <v>-0.575364144903562</v>
      </c>
      <c r="Y634">
        <v>10</v>
      </c>
    </row>
    <row r="635" spans="1:25">
      <c r="A635" s="1">
        <v>708</v>
      </c>
      <c r="B635" t="s">
        <v>1025</v>
      </c>
      <c r="C635" t="s">
        <v>1026</v>
      </c>
      <c r="D635" t="s">
        <v>1027</v>
      </c>
      <c r="E635" t="s">
        <v>1028</v>
      </c>
      <c r="F635" t="s">
        <v>292</v>
      </c>
      <c r="G635">
        <v>15</v>
      </c>
      <c r="H635">
        <v>4</v>
      </c>
      <c r="I635">
        <v>31</v>
      </c>
      <c r="J635">
        <v>29</v>
      </c>
      <c r="K635">
        <v>10</v>
      </c>
      <c r="L635">
        <v>17</v>
      </c>
      <c r="M635">
        <v>24</v>
      </c>
      <c r="N635" t="s">
        <v>394</v>
      </c>
      <c r="O635" t="s">
        <v>774</v>
      </c>
      <c r="P635" t="s">
        <v>228</v>
      </c>
      <c r="Q635" t="s">
        <v>295</v>
      </c>
      <c r="R635" t="s">
        <v>1029</v>
      </c>
      <c r="S635">
        <v>79</v>
      </c>
      <c r="T635">
        <v>96</v>
      </c>
      <c r="U635">
        <f t="shared" si="38"/>
        <v>-9.31869906004562</v>
      </c>
      <c r="V635">
        <f t="shared" si="39"/>
        <v>-1120.84424585586</v>
      </c>
      <c r="W635">
        <f t="shared" si="40"/>
        <v>-9318.69906004562</v>
      </c>
      <c r="X635">
        <f t="shared" si="41"/>
        <v>-3.89182029811063</v>
      </c>
      <c r="Y635">
        <v>15</v>
      </c>
    </row>
    <row r="636" spans="1:25">
      <c r="A636" s="1">
        <v>709</v>
      </c>
      <c r="B636" t="s">
        <v>1025</v>
      </c>
      <c r="C636" t="s">
        <v>1026</v>
      </c>
      <c r="D636" t="s">
        <v>1027</v>
      </c>
      <c r="E636" t="s">
        <v>1028</v>
      </c>
      <c r="F636" t="s">
        <v>292</v>
      </c>
      <c r="G636">
        <v>25</v>
      </c>
      <c r="H636">
        <v>4</v>
      </c>
      <c r="I636">
        <v>31</v>
      </c>
      <c r="J636">
        <v>29</v>
      </c>
      <c r="K636">
        <v>10</v>
      </c>
      <c r="L636">
        <v>17</v>
      </c>
      <c r="M636">
        <v>24</v>
      </c>
      <c r="N636" t="s">
        <v>394</v>
      </c>
      <c r="O636" t="s">
        <v>774</v>
      </c>
      <c r="P636" t="s">
        <v>228</v>
      </c>
      <c r="Q636" t="s">
        <v>295</v>
      </c>
      <c r="R636" t="s">
        <v>1029</v>
      </c>
      <c r="S636">
        <v>72</v>
      </c>
      <c r="T636">
        <v>94</v>
      </c>
      <c r="U636">
        <f t="shared" si="38"/>
        <v>-8.61228478317256</v>
      </c>
      <c r="V636">
        <f t="shared" si="39"/>
        <v>-1035.87740957091</v>
      </c>
      <c r="W636">
        <f t="shared" si="40"/>
        <v>-8612.28478317256</v>
      </c>
      <c r="X636">
        <f t="shared" si="41"/>
        <v>-3.47609868983527</v>
      </c>
      <c r="Y636">
        <v>25</v>
      </c>
    </row>
    <row r="637" spans="1:25">
      <c r="A637" s="1">
        <v>710</v>
      </c>
      <c r="B637" t="s">
        <v>1025</v>
      </c>
      <c r="C637" t="s">
        <v>1026</v>
      </c>
      <c r="D637" t="s">
        <v>1027</v>
      </c>
      <c r="E637" t="s">
        <v>1028</v>
      </c>
      <c r="F637" t="s">
        <v>292</v>
      </c>
      <c r="G637">
        <v>15</v>
      </c>
      <c r="H637">
        <v>4</v>
      </c>
      <c r="I637">
        <v>33</v>
      </c>
      <c r="J637">
        <v>29</v>
      </c>
      <c r="K637">
        <v>10</v>
      </c>
      <c r="L637">
        <v>17</v>
      </c>
      <c r="M637">
        <v>24</v>
      </c>
      <c r="N637" t="s">
        <v>1030</v>
      </c>
      <c r="O637" t="s">
        <v>774</v>
      </c>
      <c r="P637" t="s">
        <v>228</v>
      </c>
      <c r="Q637" t="s">
        <v>295</v>
      </c>
      <c r="R637" t="s">
        <v>1029</v>
      </c>
      <c r="S637">
        <v>77</v>
      </c>
      <c r="T637">
        <v>95</v>
      </c>
      <c r="U637">
        <f t="shared" si="38"/>
        <v>-8.77214923946551</v>
      </c>
      <c r="V637">
        <f t="shared" si="39"/>
        <v>-1055.10575408534</v>
      </c>
      <c r="W637">
        <f t="shared" si="40"/>
        <v>-8772.14923946551</v>
      </c>
      <c r="X637">
        <f t="shared" si="41"/>
        <v>-3.66356164612965</v>
      </c>
      <c r="Y637">
        <v>15</v>
      </c>
    </row>
    <row r="638" spans="1:25">
      <c r="A638" s="1">
        <v>711</v>
      </c>
      <c r="B638" t="s">
        <v>1025</v>
      </c>
      <c r="C638" t="s">
        <v>1026</v>
      </c>
      <c r="D638" t="s">
        <v>1027</v>
      </c>
      <c r="E638" t="s">
        <v>1028</v>
      </c>
      <c r="F638" t="s">
        <v>292</v>
      </c>
      <c r="G638">
        <v>15</v>
      </c>
      <c r="H638">
        <v>4</v>
      </c>
      <c r="I638">
        <v>32</v>
      </c>
      <c r="J638">
        <v>29</v>
      </c>
      <c r="K638">
        <v>10</v>
      </c>
      <c r="L638">
        <v>17</v>
      </c>
      <c r="M638">
        <v>24</v>
      </c>
      <c r="N638" t="s">
        <v>1031</v>
      </c>
      <c r="O638" t="s">
        <v>774</v>
      </c>
      <c r="P638" t="s">
        <v>228</v>
      </c>
      <c r="Q638" t="s">
        <v>295</v>
      </c>
      <c r="R638" t="s">
        <v>1029</v>
      </c>
      <c r="S638">
        <v>58</v>
      </c>
      <c r="T638">
        <v>96</v>
      </c>
      <c r="U638">
        <f t="shared" si="38"/>
        <v>-9.31869906004562</v>
      </c>
      <c r="V638">
        <f t="shared" si="39"/>
        <v>-1120.84424585586</v>
      </c>
      <c r="W638">
        <f t="shared" si="40"/>
        <v>-9318.69906004562</v>
      </c>
      <c r="X638">
        <f t="shared" si="41"/>
        <v>-3.89182029811063</v>
      </c>
      <c r="Y638">
        <v>15</v>
      </c>
    </row>
    <row r="639" spans="1:25">
      <c r="A639" s="1">
        <v>712</v>
      </c>
      <c r="B639" t="s">
        <v>1025</v>
      </c>
      <c r="C639" t="s">
        <v>1026</v>
      </c>
      <c r="D639" t="s">
        <v>1027</v>
      </c>
      <c r="E639" t="s">
        <v>1028</v>
      </c>
      <c r="F639" t="s">
        <v>292</v>
      </c>
      <c r="G639">
        <v>15</v>
      </c>
      <c r="H639">
        <v>4</v>
      </c>
      <c r="I639">
        <v>31</v>
      </c>
      <c r="J639">
        <v>29</v>
      </c>
      <c r="K639">
        <v>9</v>
      </c>
      <c r="L639">
        <v>17</v>
      </c>
      <c r="M639">
        <v>24</v>
      </c>
      <c r="N639" t="s">
        <v>394</v>
      </c>
      <c r="O639" t="s">
        <v>774</v>
      </c>
      <c r="P639" t="s">
        <v>511</v>
      </c>
      <c r="Q639" t="s">
        <v>295</v>
      </c>
      <c r="R639" t="s">
        <v>1029</v>
      </c>
      <c r="S639">
        <v>41</v>
      </c>
      <c r="T639">
        <v>94</v>
      </c>
      <c r="U639">
        <f t="shared" si="38"/>
        <v>-8.32328193809965</v>
      </c>
      <c r="V639">
        <f t="shared" si="39"/>
        <v>-1001.11642267256</v>
      </c>
      <c r="W639">
        <f t="shared" si="40"/>
        <v>-8323.28193809966</v>
      </c>
      <c r="X639">
        <f t="shared" si="41"/>
        <v>-3.47609868983527</v>
      </c>
      <c r="Y639">
        <v>15</v>
      </c>
    </row>
    <row r="640" spans="1:25">
      <c r="A640" s="1">
        <v>713</v>
      </c>
      <c r="B640" t="s">
        <v>1025</v>
      </c>
      <c r="C640" t="s">
        <v>1026</v>
      </c>
      <c r="D640" t="s">
        <v>1027</v>
      </c>
      <c r="E640" t="s">
        <v>1028</v>
      </c>
      <c r="F640" t="s">
        <v>292</v>
      </c>
      <c r="G640">
        <v>15</v>
      </c>
      <c r="H640">
        <v>4</v>
      </c>
      <c r="I640">
        <v>58</v>
      </c>
      <c r="J640">
        <v>29</v>
      </c>
      <c r="K640">
        <v>9</v>
      </c>
      <c r="L640">
        <v>17</v>
      </c>
      <c r="M640">
        <v>24</v>
      </c>
      <c r="N640" t="s">
        <v>219</v>
      </c>
      <c r="O640" t="s">
        <v>774</v>
      </c>
      <c r="P640" t="s">
        <v>511</v>
      </c>
      <c r="Q640" t="s">
        <v>295</v>
      </c>
      <c r="R640" t="s">
        <v>1029</v>
      </c>
      <c r="S640">
        <v>67</v>
      </c>
      <c r="T640">
        <v>94</v>
      </c>
      <c r="U640">
        <f t="shared" si="38"/>
        <v>-8.32328193809965</v>
      </c>
      <c r="V640">
        <f t="shared" si="39"/>
        <v>-1001.11642267256</v>
      </c>
      <c r="W640">
        <f t="shared" si="40"/>
        <v>-8323.28193809966</v>
      </c>
      <c r="X640">
        <f t="shared" si="41"/>
        <v>-3.47609868983527</v>
      </c>
      <c r="Y640">
        <v>15</v>
      </c>
    </row>
    <row r="641" spans="1:25">
      <c r="A641" s="1">
        <v>714</v>
      </c>
      <c r="B641" t="s">
        <v>1025</v>
      </c>
      <c r="C641" t="s">
        <v>1026</v>
      </c>
      <c r="D641" t="s">
        <v>1027</v>
      </c>
      <c r="E641" t="s">
        <v>1028</v>
      </c>
      <c r="F641" t="s">
        <v>292</v>
      </c>
      <c r="G641">
        <v>25</v>
      </c>
      <c r="H641">
        <v>4</v>
      </c>
      <c r="I641">
        <v>58</v>
      </c>
      <c r="J641">
        <v>29</v>
      </c>
      <c r="K641">
        <v>9</v>
      </c>
      <c r="L641">
        <v>17</v>
      </c>
      <c r="M641">
        <v>24</v>
      </c>
      <c r="N641" t="s">
        <v>219</v>
      </c>
      <c r="O641" t="s">
        <v>774</v>
      </c>
      <c r="P641" t="s">
        <v>511</v>
      </c>
      <c r="Q641" t="s">
        <v>295</v>
      </c>
      <c r="R641" t="s">
        <v>1029</v>
      </c>
      <c r="S641">
        <v>62</v>
      </c>
      <c r="T641">
        <v>94</v>
      </c>
      <c r="U641">
        <f t="shared" si="38"/>
        <v>-8.61228478317256</v>
      </c>
      <c r="V641">
        <f t="shared" si="39"/>
        <v>-1035.87740957091</v>
      </c>
      <c r="W641">
        <f t="shared" si="40"/>
        <v>-8612.28478317256</v>
      </c>
      <c r="X641">
        <f t="shared" si="41"/>
        <v>-3.47609868983527</v>
      </c>
      <c r="Y641">
        <v>25</v>
      </c>
    </row>
    <row r="642" spans="1:25">
      <c r="A642" s="1">
        <v>715</v>
      </c>
      <c r="B642" t="s">
        <v>1032</v>
      </c>
      <c r="C642" t="s">
        <v>1026</v>
      </c>
      <c r="D642" t="s">
        <v>1027</v>
      </c>
      <c r="E642" t="s">
        <v>1028</v>
      </c>
      <c r="F642" t="s">
        <v>292</v>
      </c>
      <c r="G642">
        <v>15</v>
      </c>
      <c r="H642">
        <v>4</v>
      </c>
      <c r="I642">
        <v>31</v>
      </c>
      <c r="J642">
        <v>29</v>
      </c>
      <c r="K642">
        <v>10</v>
      </c>
      <c r="L642">
        <v>17</v>
      </c>
      <c r="M642">
        <v>24</v>
      </c>
      <c r="N642" t="s">
        <v>394</v>
      </c>
      <c r="O642" t="s">
        <v>774</v>
      </c>
      <c r="P642" t="s">
        <v>228</v>
      </c>
      <c r="Q642" t="s">
        <v>295</v>
      </c>
      <c r="R642" t="s">
        <v>1029</v>
      </c>
      <c r="S642">
        <v>58</v>
      </c>
      <c r="T642">
        <v>16</v>
      </c>
      <c r="U642">
        <f t="shared" ref="U642:U705" si="42">LN((1+T642*0.01)/(1-T642*0.01))*-(G642+273)*8.314/1000</f>
        <v>-0.772858939183202</v>
      </c>
      <c r="V642">
        <f t="shared" ref="V642:V705" si="43">LN((1+T642*0.01)/(1-T642*0.01))*-(G642+273)</f>
        <v>-92.9587369717587</v>
      </c>
      <c r="W642">
        <f t="shared" ref="W642:W705" si="44">LN((1+T642*0.01)/(1-T642*0.01))*-(G642+273)*8.314</f>
        <v>-772.858939183202</v>
      </c>
      <c r="X642">
        <f t="shared" si="41"/>
        <v>-0.322773392263051</v>
      </c>
      <c r="Y642">
        <v>15</v>
      </c>
    </row>
    <row r="643" spans="1:25">
      <c r="A643" s="1">
        <v>716</v>
      </c>
      <c r="B643" t="s">
        <v>1033</v>
      </c>
      <c r="C643" t="s">
        <v>1026</v>
      </c>
      <c r="D643" t="s">
        <v>1027</v>
      </c>
      <c r="E643" t="s">
        <v>1028</v>
      </c>
      <c r="F643" t="s">
        <v>292</v>
      </c>
      <c r="G643">
        <v>15</v>
      </c>
      <c r="H643">
        <v>4</v>
      </c>
      <c r="I643">
        <v>31</v>
      </c>
      <c r="J643">
        <v>29</v>
      </c>
      <c r="K643">
        <v>10</v>
      </c>
      <c r="L643">
        <v>17</v>
      </c>
      <c r="M643">
        <v>24</v>
      </c>
      <c r="N643" t="s">
        <v>394</v>
      </c>
      <c r="O643" t="s">
        <v>774</v>
      </c>
      <c r="P643" t="s">
        <v>228</v>
      </c>
      <c r="Q643" t="s">
        <v>295</v>
      </c>
      <c r="R643" t="s">
        <v>1029</v>
      </c>
      <c r="S643">
        <v>47</v>
      </c>
      <c r="T643">
        <v>58</v>
      </c>
      <c r="U643">
        <f t="shared" si="42"/>
        <v>-3.17244381067534</v>
      </c>
      <c r="V643">
        <f t="shared" si="43"/>
        <v>-381.578519446156</v>
      </c>
      <c r="W643">
        <f t="shared" si="44"/>
        <v>-3172.44381067534</v>
      </c>
      <c r="X643">
        <f t="shared" si="41"/>
        <v>-1.3249254147436</v>
      </c>
      <c r="Y643">
        <v>15</v>
      </c>
    </row>
    <row r="644" spans="1:25">
      <c r="A644" s="1">
        <v>717</v>
      </c>
      <c r="B644" t="s">
        <v>1025</v>
      </c>
      <c r="C644" t="s">
        <v>1034</v>
      </c>
      <c r="D644" t="s">
        <v>1027</v>
      </c>
      <c r="E644" t="s">
        <v>1035</v>
      </c>
      <c r="F644" t="s">
        <v>292</v>
      </c>
      <c r="G644">
        <v>15</v>
      </c>
      <c r="H644">
        <v>4</v>
      </c>
      <c r="I644">
        <v>31</v>
      </c>
      <c r="J644">
        <v>29</v>
      </c>
      <c r="K644">
        <v>10</v>
      </c>
      <c r="L644">
        <v>17</v>
      </c>
      <c r="M644">
        <v>24</v>
      </c>
      <c r="N644" t="s">
        <v>394</v>
      </c>
      <c r="O644" t="s">
        <v>774</v>
      </c>
      <c r="P644" t="s">
        <v>228</v>
      </c>
      <c r="Q644" t="s">
        <v>295</v>
      </c>
      <c r="R644" t="s">
        <v>1029</v>
      </c>
      <c r="S644">
        <v>72</v>
      </c>
      <c r="T644">
        <v>96</v>
      </c>
      <c r="U644">
        <f t="shared" si="42"/>
        <v>-9.31869906004562</v>
      </c>
      <c r="V644">
        <f t="shared" si="43"/>
        <v>-1120.84424585586</v>
      </c>
      <c r="W644">
        <f t="shared" si="44"/>
        <v>-9318.69906004562</v>
      </c>
      <c r="X644">
        <f t="shared" si="41"/>
        <v>-3.89182029811063</v>
      </c>
      <c r="Y644">
        <v>15</v>
      </c>
    </row>
    <row r="645" spans="1:25">
      <c r="A645" s="1">
        <v>718</v>
      </c>
      <c r="B645" t="s">
        <v>1025</v>
      </c>
      <c r="C645" t="s">
        <v>1036</v>
      </c>
      <c r="D645" t="s">
        <v>1027</v>
      </c>
      <c r="E645" t="s">
        <v>1037</v>
      </c>
      <c r="F645" t="s">
        <v>292</v>
      </c>
      <c r="G645">
        <v>15</v>
      </c>
      <c r="H645">
        <v>4</v>
      </c>
      <c r="I645">
        <v>31</v>
      </c>
      <c r="J645">
        <v>29</v>
      </c>
      <c r="K645">
        <v>10</v>
      </c>
      <c r="L645">
        <v>17</v>
      </c>
      <c r="M645">
        <v>24</v>
      </c>
      <c r="N645" t="s">
        <v>394</v>
      </c>
      <c r="O645" t="s">
        <v>774</v>
      </c>
      <c r="P645" t="s">
        <v>228</v>
      </c>
      <c r="Q645" t="s">
        <v>295</v>
      </c>
      <c r="R645" t="s">
        <v>1029</v>
      </c>
      <c r="S645">
        <v>61</v>
      </c>
      <c r="T645">
        <v>96</v>
      </c>
      <c r="U645">
        <f t="shared" si="42"/>
        <v>-9.31869906004562</v>
      </c>
      <c r="V645">
        <f t="shared" si="43"/>
        <v>-1120.84424585586</v>
      </c>
      <c r="W645">
        <f t="shared" si="44"/>
        <v>-9318.69906004562</v>
      </c>
      <c r="X645">
        <f t="shared" si="41"/>
        <v>-3.89182029811063</v>
      </c>
      <c r="Y645">
        <v>15</v>
      </c>
    </row>
    <row r="646" spans="1:25">
      <c r="A646" s="1">
        <v>719</v>
      </c>
      <c r="B646" t="s">
        <v>1025</v>
      </c>
      <c r="C646" t="s">
        <v>1038</v>
      </c>
      <c r="D646" t="s">
        <v>1027</v>
      </c>
      <c r="E646" t="s">
        <v>1039</v>
      </c>
      <c r="F646" t="s">
        <v>292</v>
      </c>
      <c r="G646">
        <v>15</v>
      </c>
      <c r="H646">
        <v>4</v>
      </c>
      <c r="I646">
        <v>31</v>
      </c>
      <c r="J646">
        <v>29</v>
      </c>
      <c r="K646">
        <v>10</v>
      </c>
      <c r="L646">
        <v>17</v>
      </c>
      <c r="M646">
        <v>24</v>
      </c>
      <c r="N646" t="s">
        <v>394</v>
      </c>
      <c r="O646" t="s">
        <v>774</v>
      </c>
      <c r="P646" t="s">
        <v>228</v>
      </c>
      <c r="Q646" t="s">
        <v>295</v>
      </c>
      <c r="R646" t="s">
        <v>1029</v>
      </c>
      <c r="S646">
        <v>72</v>
      </c>
      <c r="T646">
        <v>91</v>
      </c>
      <c r="U646">
        <f t="shared" si="42"/>
        <v>-7.31510672970423</v>
      </c>
      <c r="V646">
        <f t="shared" si="43"/>
        <v>-879.854069004598</v>
      </c>
      <c r="W646">
        <f t="shared" si="44"/>
        <v>-7315.10672970423</v>
      </c>
      <c r="X646">
        <f t="shared" si="41"/>
        <v>-3.05504885071041</v>
      </c>
      <c r="Y646">
        <v>15</v>
      </c>
    </row>
    <row r="647" spans="1:25">
      <c r="A647" s="1">
        <v>720</v>
      </c>
      <c r="B647" t="s">
        <v>1025</v>
      </c>
      <c r="C647" t="s">
        <v>1040</v>
      </c>
      <c r="D647" t="s">
        <v>1027</v>
      </c>
      <c r="E647" t="s">
        <v>1041</v>
      </c>
      <c r="F647" t="s">
        <v>292</v>
      </c>
      <c r="G647">
        <v>15</v>
      </c>
      <c r="H647">
        <v>4</v>
      </c>
      <c r="I647">
        <v>31</v>
      </c>
      <c r="J647">
        <v>29</v>
      </c>
      <c r="K647">
        <v>10</v>
      </c>
      <c r="L647">
        <v>17</v>
      </c>
      <c r="M647">
        <v>24</v>
      </c>
      <c r="N647" t="s">
        <v>394</v>
      </c>
      <c r="O647" t="s">
        <v>774</v>
      </c>
      <c r="P647" t="s">
        <v>228</v>
      </c>
      <c r="Q647" t="s">
        <v>295</v>
      </c>
      <c r="R647" t="s">
        <v>1029</v>
      </c>
      <c r="S647">
        <v>73</v>
      </c>
      <c r="T647">
        <v>91</v>
      </c>
      <c r="U647">
        <f t="shared" si="42"/>
        <v>-7.31510672970423</v>
      </c>
      <c r="V647">
        <f t="shared" si="43"/>
        <v>-879.854069004598</v>
      </c>
      <c r="W647">
        <f t="shared" si="44"/>
        <v>-7315.10672970423</v>
      </c>
      <c r="X647">
        <f t="shared" si="41"/>
        <v>-3.05504885071041</v>
      </c>
      <c r="Y647">
        <v>15</v>
      </c>
    </row>
    <row r="648" spans="1:25">
      <c r="A648" s="1">
        <v>721</v>
      </c>
      <c r="B648" t="s">
        <v>1025</v>
      </c>
      <c r="C648" t="s">
        <v>1042</v>
      </c>
      <c r="D648" t="s">
        <v>1027</v>
      </c>
      <c r="E648" t="s">
        <v>1043</v>
      </c>
      <c r="F648" t="s">
        <v>292</v>
      </c>
      <c r="G648">
        <v>15</v>
      </c>
      <c r="H648">
        <v>4</v>
      </c>
      <c r="I648">
        <v>31</v>
      </c>
      <c r="J648">
        <v>29</v>
      </c>
      <c r="K648">
        <v>10</v>
      </c>
      <c r="L648">
        <v>17</v>
      </c>
      <c r="M648">
        <v>24</v>
      </c>
      <c r="N648" t="s">
        <v>394</v>
      </c>
      <c r="O648" t="s">
        <v>774</v>
      </c>
      <c r="P648" t="s">
        <v>228</v>
      </c>
      <c r="Q648" t="s">
        <v>295</v>
      </c>
      <c r="R648" t="s">
        <v>1029</v>
      </c>
      <c r="S648">
        <v>81</v>
      </c>
      <c r="T648">
        <v>91</v>
      </c>
      <c r="U648">
        <f t="shared" si="42"/>
        <v>-7.31510672970423</v>
      </c>
      <c r="V648">
        <f t="shared" si="43"/>
        <v>-879.854069004598</v>
      </c>
      <c r="W648">
        <f t="shared" si="44"/>
        <v>-7315.10672970423</v>
      </c>
      <c r="X648">
        <f t="shared" si="41"/>
        <v>-3.05504885071041</v>
      </c>
      <c r="Y648">
        <v>15</v>
      </c>
    </row>
    <row r="649" spans="1:25">
      <c r="A649" s="1">
        <v>722</v>
      </c>
      <c r="B649" t="s">
        <v>1025</v>
      </c>
      <c r="C649" t="s">
        <v>1044</v>
      </c>
      <c r="D649" t="s">
        <v>1027</v>
      </c>
      <c r="E649" t="s">
        <v>1045</v>
      </c>
      <c r="F649" t="s">
        <v>292</v>
      </c>
      <c r="G649">
        <v>15</v>
      </c>
      <c r="H649">
        <v>4</v>
      </c>
      <c r="I649">
        <v>31</v>
      </c>
      <c r="J649">
        <v>29</v>
      </c>
      <c r="K649">
        <v>10</v>
      </c>
      <c r="L649">
        <v>17</v>
      </c>
      <c r="M649">
        <v>24</v>
      </c>
      <c r="N649" t="s">
        <v>394</v>
      </c>
      <c r="O649" t="s">
        <v>774</v>
      </c>
      <c r="P649" t="s">
        <v>228</v>
      </c>
      <c r="Q649" t="s">
        <v>295</v>
      </c>
      <c r="R649" t="s">
        <v>1029</v>
      </c>
      <c r="S649">
        <v>69</v>
      </c>
      <c r="T649">
        <v>95</v>
      </c>
      <c r="U649">
        <f t="shared" si="42"/>
        <v>-8.77214923946551</v>
      </c>
      <c r="V649">
        <f t="shared" si="43"/>
        <v>-1055.10575408534</v>
      </c>
      <c r="W649">
        <f t="shared" si="44"/>
        <v>-8772.14923946551</v>
      </c>
      <c r="X649">
        <f t="shared" si="41"/>
        <v>-3.66356164612965</v>
      </c>
      <c r="Y649">
        <v>15</v>
      </c>
    </row>
    <row r="650" spans="1:25">
      <c r="A650" s="1">
        <v>723</v>
      </c>
      <c r="B650" t="s">
        <v>1025</v>
      </c>
      <c r="C650" t="s">
        <v>1046</v>
      </c>
      <c r="D650" t="s">
        <v>1027</v>
      </c>
      <c r="E650" t="s">
        <v>1047</v>
      </c>
      <c r="F650" t="s">
        <v>292</v>
      </c>
      <c r="G650">
        <v>15</v>
      </c>
      <c r="H650">
        <v>4</v>
      </c>
      <c r="I650">
        <v>31</v>
      </c>
      <c r="J650">
        <v>29</v>
      </c>
      <c r="K650">
        <v>10</v>
      </c>
      <c r="L650">
        <v>17</v>
      </c>
      <c r="M650">
        <v>24</v>
      </c>
      <c r="N650" t="s">
        <v>394</v>
      </c>
      <c r="O650" t="s">
        <v>774</v>
      </c>
      <c r="P650" t="s">
        <v>228</v>
      </c>
      <c r="Q650" t="s">
        <v>295</v>
      </c>
      <c r="R650" t="s">
        <v>1029</v>
      </c>
      <c r="S650">
        <v>76</v>
      </c>
      <c r="T650">
        <v>96</v>
      </c>
      <c r="U650">
        <f t="shared" si="42"/>
        <v>-9.31869906004562</v>
      </c>
      <c r="V650">
        <f t="shared" si="43"/>
        <v>-1120.84424585586</v>
      </c>
      <c r="W650">
        <f t="shared" si="44"/>
        <v>-9318.69906004562</v>
      </c>
      <c r="X650">
        <f t="shared" si="41"/>
        <v>-3.89182029811063</v>
      </c>
      <c r="Y650">
        <v>15</v>
      </c>
    </row>
    <row r="651" spans="1:25">
      <c r="A651" s="1">
        <v>724</v>
      </c>
      <c r="B651" t="s">
        <v>1025</v>
      </c>
      <c r="C651" t="s">
        <v>1048</v>
      </c>
      <c r="D651" t="s">
        <v>1027</v>
      </c>
      <c r="E651" t="s">
        <v>1049</v>
      </c>
      <c r="F651" t="s">
        <v>292</v>
      </c>
      <c r="G651">
        <v>15</v>
      </c>
      <c r="H651">
        <v>4</v>
      </c>
      <c r="I651">
        <v>31</v>
      </c>
      <c r="J651">
        <v>29</v>
      </c>
      <c r="K651">
        <v>10</v>
      </c>
      <c r="L651">
        <v>17</v>
      </c>
      <c r="M651">
        <v>24</v>
      </c>
      <c r="N651" t="s">
        <v>394</v>
      </c>
      <c r="O651" t="s">
        <v>774</v>
      </c>
      <c r="P651" t="s">
        <v>228</v>
      </c>
      <c r="Q651" t="s">
        <v>295</v>
      </c>
      <c r="R651" t="s">
        <v>1029</v>
      </c>
      <c r="S651">
        <v>72</v>
      </c>
      <c r="T651">
        <v>94</v>
      </c>
      <c r="U651">
        <f t="shared" si="42"/>
        <v>-8.32328193809965</v>
      </c>
      <c r="V651">
        <f t="shared" si="43"/>
        <v>-1001.11642267256</v>
      </c>
      <c r="W651">
        <f t="shared" si="44"/>
        <v>-8323.28193809966</v>
      </c>
      <c r="X651">
        <f t="shared" si="41"/>
        <v>-3.47609868983527</v>
      </c>
      <c r="Y651">
        <v>15</v>
      </c>
    </row>
    <row r="652" spans="1:25">
      <c r="A652" s="1">
        <v>725</v>
      </c>
      <c r="B652" t="s">
        <v>1025</v>
      </c>
      <c r="C652" t="s">
        <v>1050</v>
      </c>
      <c r="D652" t="s">
        <v>1027</v>
      </c>
      <c r="E652" t="s">
        <v>1051</v>
      </c>
      <c r="F652" t="s">
        <v>292</v>
      </c>
      <c r="G652">
        <v>15</v>
      </c>
      <c r="H652">
        <v>4</v>
      </c>
      <c r="I652">
        <v>31</v>
      </c>
      <c r="J652">
        <v>29</v>
      </c>
      <c r="K652">
        <v>10</v>
      </c>
      <c r="L652">
        <v>17</v>
      </c>
      <c r="M652">
        <v>24</v>
      </c>
      <c r="N652" t="s">
        <v>394</v>
      </c>
      <c r="O652" t="s">
        <v>774</v>
      </c>
      <c r="P652" t="s">
        <v>228</v>
      </c>
      <c r="Q652" t="s">
        <v>295</v>
      </c>
      <c r="R652" t="s">
        <v>1029</v>
      </c>
      <c r="S652">
        <v>79</v>
      </c>
      <c r="T652">
        <v>95</v>
      </c>
      <c r="U652">
        <f t="shared" si="42"/>
        <v>-8.77214923946551</v>
      </c>
      <c r="V652">
        <f t="shared" si="43"/>
        <v>-1055.10575408534</v>
      </c>
      <c r="W652">
        <f t="shared" si="44"/>
        <v>-8772.14923946551</v>
      </c>
      <c r="X652">
        <f t="shared" si="41"/>
        <v>-3.66356164612965</v>
      </c>
      <c r="Y652">
        <v>15</v>
      </c>
    </row>
    <row r="653" spans="1:25">
      <c r="A653" s="1">
        <v>726</v>
      </c>
      <c r="B653" t="s">
        <v>1025</v>
      </c>
      <c r="C653" t="s">
        <v>1052</v>
      </c>
      <c r="D653" t="s">
        <v>1027</v>
      </c>
      <c r="E653" t="s">
        <v>1053</v>
      </c>
      <c r="F653" t="s">
        <v>292</v>
      </c>
      <c r="G653">
        <v>15</v>
      </c>
      <c r="H653">
        <v>4</v>
      </c>
      <c r="I653">
        <v>31</v>
      </c>
      <c r="J653">
        <v>29</v>
      </c>
      <c r="K653">
        <v>10</v>
      </c>
      <c r="L653">
        <v>17</v>
      </c>
      <c r="M653">
        <v>24</v>
      </c>
      <c r="N653" t="s">
        <v>394</v>
      </c>
      <c r="O653" t="s">
        <v>774</v>
      </c>
      <c r="P653" t="s">
        <v>228</v>
      </c>
      <c r="Q653" t="s">
        <v>295</v>
      </c>
      <c r="R653" t="s">
        <v>1029</v>
      </c>
      <c r="S653">
        <v>79</v>
      </c>
      <c r="T653">
        <v>94</v>
      </c>
      <c r="U653">
        <f t="shared" si="42"/>
        <v>-8.32328193809965</v>
      </c>
      <c r="V653">
        <f t="shared" si="43"/>
        <v>-1001.11642267256</v>
      </c>
      <c r="W653">
        <f t="shared" si="44"/>
        <v>-8323.28193809966</v>
      </c>
      <c r="X653">
        <f t="shared" si="41"/>
        <v>-3.47609868983527</v>
      </c>
      <c r="Y653">
        <v>15</v>
      </c>
    </row>
    <row r="654" spans="1:25">
      <c r="A654" s="1">
        <v>727</v>
      </c>
      <c r="B654" t="s">
        <v>1025</v>
      </c>
      <c r="C654" t="s">
        <v>1054</v>
      </c>
      <c r="D654" t="s">
        <v>1027</v>
      </c>
      <c r="E654" t="s">
        <v>1055</v>
      </c>
      <c r="F654" t="s">
        <v>292</v>
      </c>
      <c r="G654">
        <v>15</v>
      </c>
      <c r="H654">
        <v>4</v>
      </c>
      <c r="I654">
        <v>31</v>
      </c>
      <c r="J654">
        <v>29</v>
      </c>
      <c r="K654">
        <v>10</v>
      </c>
      <c r="L654">
        <v>17</v>
      </c>
      <c r="M654">
        <v>24</v>
      </c>
      <c r="N654" t="s">
        <v>394</v>
      </c>
      <c r="O654" t="s">
        <v>774</v>
      </c>
      <c r="P654" t="s">
        <v>228</v>
      </c>
      <c r="Q654" t="s">
        <v>295</v>
      </c>
      <c r="R654" t="s">
        <v>1029</v>
      </c>
      <c r="S654">
        <v>61</v>
      </c>
      <c r="T654">
        <v>95</v>
      </c>
      <c r="U654">
        <f t="shared" si="42"/>
        <v>-8.77214923946551</v>
      </c>
      <c r="V654">
        <f t="shared" si="43"/>
        <v>-1055.10575408534</v>
      </c>
      <c r="W654">
        <f t="shared" si="44"/>
        <v>-8772.14923946551</v>
      </c>
      <c r="X654">
        <f t="shared" si="41"/>
        <v>-3.66356164612965</v>
      </c>
      <c r="Y654">
        <v>15</v>
      </c>
    </row>
    <row r="655" spans="1:25">
      <c r="A655" s="1">
        <v>728</v>
      </c>
      <c r="B655" t="s">
        <v>1025</v>
      </c>
      <c r="C655" t="s">
        <v>1056</v>
      </c>
      <c r="D655" t="s">
        <v>1027</v>
      </c>
      <c r="E655" t="s">
        <v>1057</v>
      </c>
      <c r="F655" t="s">
        <v>292</v>
      </c>
      <c r="G655">
        <v>15</v>
      </c>
      <c r="H655">
        <v>4</v>
      </c>
      <c r="I655">
        <v>31</v>
      </c>
      <c r="J655">
        <v>29</v>
      </c>
      <c r="K655">
        <v>10</v>
      </c>
      <c r="L655">
        <v>17</v>
      </c>
      <c r="M655">
        <v>24</v>
      </c>
      <c r="N655" t="s">
        <v>394</v>
      </c>
      <c r="O655" t="s">
        <v>774</v>
      </c>
      <c r="P655" t="s">
        <v>228</v>
      </c>
      <c r="Q655" t="s">
        <v>295</v>
      </c>
      <c r="R655" t="s">
        <v>1029</v>
      </c>
      <c r="S655">
        <v>81</v>
      </c>
      <c r="T655">
        <v>94</v>
      </c>
      <c r="U655">
        <f t="shared" si="42"/>
        <v>-8.32328193809965</v>
      </c>
      <c r="V655">
        <f t="shared" si="43"/>
        <v>-1001.11642267256</v>
      </c>
      <c r="W655">
        <f t="shared" si="44"/>
        <v>-8323.28193809966</v>
      </c>
      <c r="X655">
        <f t="shared" si="41"/>
        <v>-3.47609868983527</v>
      </c>
      <c r="Y655">
        <v>15</v>
      </c>
    </row>
    <row r="656" spans="1:25">
      <c r="A656" s="1">
        <v>729</v>
      </c>
      <c r="B656" t="s">
        <v>1025</v>
      </c>
      <c r="C656" t="s">
        <v>1058</v>
      </c>
      <c r="D656" t="s">
        <v>1027</v>
      </c>
      <c r="E656" t="s">
        <v>1059</v>
      </c>
      <c r="F656" t="s">
        <v>292</v>
      </c>
      <c r="G656">
        <v>15</v>
      </c>
      <c r="H656">
        <v>4</v>
      </c>
      <c r="I656">
        <v>31</v>
      </c>
      <c r="J656">
        <v>29</v>
      </c>
      <c r="K656">
        <v>10</v>
      </c>
      <c r="L656">
        <v>17</v>
      </c>
      <c r="M656">
        <v>24</v>
      </c>
      <c r="N656" t="s">
        <v>394</v>
      </c>
      <c r="O656" t="s">
        <v>774</v>
      </c>
      <c r="P656" t="s">
        <v>228</v>
      </c>
      <c r="Q656" t="s">
        <v>295</v>
      </c>
      <c r="R656" t="s">
        <v>1029</v>
      </c>
      <c r="S656">
        <v>68</v>
      </c>
      <c r="T656">
        <v>96</v>
      </c>
      <c r="U656">
        <f t="shared" si="42"/>
        <v>-9.31869906004562</v>
      </c>
      <c r="V656">
        <f t="shared" si="43"/>
        <v>-1120.84424585586</v>
      </c>
      <c r="W656">
        <f t="shared" si="44"/>
        <v>-9318.69906004562</v>
      </c>
      <c r="X656">
        <f t="shared" si="41"/>
        <v>-3.89182029811063</v>
      </c>
      <c r="Y656">
        <v>15</v>
      </c>
    </row>
    <row r="657" spans="1:25">
      <c r="A657" s="1">
        <v>730</v>
      </c>
      <c r="B657" t="s">
        <v>1025</v>
      </c>
      <c r="C657" t="s">
        <v>1060</v>
      </c>
      <c r="D657" t="s">
        <v>1061</v>
      </c>
      <c r="E657" t="s">
        <v>1051</v>
      </c>
      <c r="F657" t="s">
        <v>292</v>
      </c>
      <c r="G657">
        <v>15</v>
      </c>
      <c r="H657">
        <v>4</v>
      </c>
      <c r="I657">
        <v>31</v>
      </c>
      <c r="J657">
        <v>29</v>
      </c>
      <c r="K657">
        <v>10</v>
      </c>
      <c r="L657">
        <v>17</v>
      </c>
      <c r="M657">
        <v>24</v>
      </c>
      <c r="N657" t="s">
        <v>394</v>
      </c>
      <c r="O657" t="s">
        <v>774</v>
      </c>
      <c r="P657" t="s">
        <v>228</v>
      </c>
      <c r="Q657" t="s">
        <v>295</v>
      </c>
      <c r="R657" t="s">
        <v>1029</v>
      </c>
      <c r="S657">
        <v>75</v>
      </c>
      <c r="T657">
        <v>95</v>
      </c>
      <c r="U657">
        <f t="shared" si="42"/>
        <v>-8.77214923946551</v>
      </c>
      <c r="V657">
        <f t="shared" si="43"/>
        <v>-1055.10575408534</v>
      </c>
      <c r="W657">
        <f t="shared" si="44"/>
        <v>-8772.14923946551</v>
      </c>
      <c r="X657">
        <f t="shared" si="41"/>
        <v>-3.66356164612965</v>
      </c>
      <c r="Y657">
        <v>15</v>
      </c>
    </row>
    <row r="658" spans="1:25">
      <c r="A658" s="1">
        <v>731</v>
      </c>
      <c r="B658" t="s">
        <v>1025</v>
      </c>
      <c r="C658" t="s">
        <v>1062</v>
      </c>
      <c r="D658" t="s">
        <v>1063</v>
      </c>
      <c r="E658" t="s">
        <v>1051</v>
      </c>
      <c r="F658" t="s">
        <v>292</v>
      </c>
      <c r="G658">
        <v>15</v>
      </c>
      <c r="H658">
        <v>4</v>
      </c>
      <c r="I658">
        <v>31</v>
      </c>
      <c r="J658">
        <v>29</v>
      </c>
      <c r="K658">
        <v>10</v>
      </c>
      <c r="L658">
        <v>17</v>
      </c>
      <c r="M658">
        <v>24</v>
      </c>
      <c r="N658" t="s">
        <v>394</v>
      </c>
      <c r="O658" t="s">
        <v>774</v>
      </c>
      <c r="P658" t="s">
        <v>228</v>
      </c>
      <c r="Q658" t="s">
        <v>295</v>
      </c>
      <c r="R658" t="s">
        <v>1029</v>
      </c>
      <c r="S658">
        <v>69</v>
      </c>
      <c r="T658">
        <v>92</v>
      </c>
      <c r="U658">
        <f t="shared" si="42"/>
        <v>-7.60963378910769</v>
      </c>
      <c r="V658">
        <f t="shared" si="43"/>
        <v>-915.279503140208</v>
      </c>
      <c r="W658">
        <f t="shared" si="44"/>
        <v>-7609.63378910769</v>
      </c>
      <c r="X658">
        <f t="shared" si="41"/>
        <v>-3.17805383034795</v>
      </c>
      <c r="Y658">
        <v>15</v>
      </c>
    </row>
    <row r="659" spans="1:25">
      <c r="A659" s="1">
        <v>732</v>
      </c>
      <c r="B659" t="s">
        <v>1025</v>
      </c>
      <c r="C659" t="s">
        <v>1064</v>
      </c>
      <c r="D659" t="s">
        <v>1065</v>
      </c>
      <c r="E659" t="s">
        <v>1051</v>
      </c>
      <c r="F659" t="s">
        <v>292</v>
      </c>
      <c r="G659">
        <v>15</v>
      </c>
      <c r="H659">
        <v>4</v>
      </c>
      <c r="I659">
        <v>31</v>
      </c>
      <c r="J659">
        <v>29</v>
      </c>
      <c r="K659">
        <v>10</v>
      </c>
      <c r="L659">
        <v>17</v>
      </c>
      <c r="M659">
        <v>24</v>
      </c>
      <c r="N659" t="s">
        <v>394</v>
      </c>
      <c r="O659" t="s">
        <v>774</v>
      </c>
      <c r="P659" t="s">
        <v>228</v>
      </c>
      <c r="Q659" t="s">
        <v>295</v>
      </c>
      <c r="R659" t="s">
        <v>1029</v>
      </c>
      <c r="S659">
        <v>76</v>
      </c>
      <c r="T659">
        <v>97</v>
      </c>
      <c r="U659">
        <f t="shared" si="42"/>
        <v>-10.0197196510294</v>
      </c>
      <c r="V659">
        <f t="shared" si="43"/>
        <v>-1205.16233474012</v>
      </c>
      <c r="W659">
        <f t="shared" si="44"/>
        <v>-10019.7196510294</v>
      </c>
      <c r="X659">
        <f t="shared" si="41"/>
        <v>-4.18459144006988</v>
      </c>
      <c r="Y659">
        <v>15</v>
      </c>
    </row>
    <row r="660" spans="1:25">
      <c r="A660" s="1">
        <v>733</v>
      </c>
      <c r="B660" t="s">
        <v>1025</v>
      </c>
      <c r="C660" t="s">
        <v>1066</v>
      </c>
      <c r="D660" t="s">
        <v>1067</v>
      </c>
      <c r="E660" t="s">
        <v>1051</v>
      </c>
      <c r="F660" t="s">
        <v>292</v>
      </c>
      <c r="G660">
        <v>15</v>
      </c>
      <c r="H660">
        <v>4</v>
      </c>
      <c r="I660">
        <v>31</v>
      </c>
      <c r="J660">
        <v>29</v>
      </c>
      <c r="K660">
        <v>10</v>
      </c>
      <c r="L660">
        <v>17</v>
      </c>
      <c r="M660">
        <v>24</v>
      </c>
      <c r="N660" t="s">
        <v>394</v>
      </c>
      <c r="O660" t="s">
        <v>774</v>
      </c>
      <c r="P660" t="s">
        <v>228</v>
      </c>
      <c r="Q660" t="s">
        <v>295</v>
      </c>
      <c r="R660" t="s">
        <v>1029</v>
      </c>
      <c r="S660">
        <v>79</v>
      </c>
      <c r="T660">
        <v>96</v>
      </c>
      <c r="U660">
        <f t="shared" si="42"/>
        <v>-9.31869906004562</v>
      </c>
      <c r="V660">
        <f t="shared" si="43"/>
        <v>-1120.84424585586</v>
      </c>
      <c r="W660">
        <f t="shared" si="44"/>
        <v>-9318.69906004562</v>
      </c>
      <c r="X660">
        <f t="shared" si="41"/>
        <v>-3.89182029811063</v>
      </c>
      <c r="Y660">
        <v>15</v>
      </c>
    </row>
    <row r="661" spans="1:25">
      <c r="A661" s="1">
        <v>734</v>
      </c>
      <c r="B661" t="s">
        <v>1025</v>
      </c>
      <c r="C661" t="s">
        <v>1068</v>
      </c>
      <c r="D661" t="s">
        <v>1069</v>
      </c>
      <c r="E661" t="s">
        <v>1051</v>
      </c>
      <c r="F661" t="s">
        <v>292</v>
      </c>
      <c r="G661">
        <v>15</v>
      </c>
      <c r="H661">
        <v>4</v>
      </c>
      <c r="I661">
        <v>31</v>
      </c>
      <c r="J661">
        <v>29</v>
      </c>
      <c r="K661">
        <v>10</v>
      </c>
      <c r="L661">
        <v>17</v>
      </c>
      <c r="M661">
        <v>24</v>
      </c>
      <c r="N661" t="s">
        <v>394</v>
      </c>
      <c r="O661" t="s">
        <v>774</v>
      </c>
      <c r="P661" t="s">
        <v>228</v>
      </c>
      <c r="Q661" t="s">
        <v>295</v>
      </c>
      <c r="R661" t="s">
        <v>1029</v>
      </c>
      <c r="S661">
        <v>80</v>
      </c>
      <c r="T661">
        <v>95</v>
      </c>
      <c r="U661">
        <f t="shared" si="42"/>
        <v>-8.77214923946551</v>
      </c>
      <c r="V661">
        <f t="shared" si="43"/>
        <v>-1055.10575408534</v>
      </c>
      <c r="W661">
        <f t="shared" si="44"/>
        <v>-8772.14923946551</v>
      </c>
      <c r="X661">
        <f t="shared" si="41"/>
        <v>-3.66356164612965</v>
      </c>
      <c r="Y661">
        <v>15</v>
      </c>
    </row>
    <row r="662" spans="1:25">
      <c r="A662" s="1">
        <v>735</v>
      </c>
      <c r="B662" t="s">
        <v>1025</v>
      </c>
      <c r="C662" t="s">
        <v>1070</v>
      </c>
      <c r="D662" t="s">
        <v>1071</v>
      </c>
      <c r="E662" t="s">
        <v>1051</v>
      </c>
      <c r="F662" t="s">
        <v>292</v>
      </c>
      <c r="G662">
        <v>15</v>
      </c>
      <c r="H662">
        <v>4</v>
      </c>
      <c r="I662">
        <v>31</v>
      </c>
      <c r="J662">
        <v>29</v>
      </c>
      <c r="K662">
        <v>10</v>
      </c>
      <c r="L662">
        <v>17</v>
      </c>
      <c r="M662">
        <v>24</v>
      </c>
      <c r="N662" t="s">
        <v>394</v>
      </c>
      <c r="O662" t="s">
        <v>774</v>
      </c>
      <c r="P662" t="s">
        <v>228</v>
      </c>
      <c r="Q662" t="s">
        <v>295</v>
      </c>
      <c r="R662" t="s">
        <v>1029</v>
      </c>
      <c r="S662">
        <v>77</v>
      </c>
      <c r="T662">
        <v>95</v>
      </c>
      <c r="U662">
        <f t="shared" si="42"/>
        <v>-8.77214923946551</v>
      </c>
      <c r="V662">
        <f t="shared" si="43"/>
        <v>-1055.10575408534</v>
      </c>
      <c r="W662">
        <f t="shared" si="44"/>
        <v>-8772.14923946551</v>
      </c>
      <c r="X662">
        <f t="shared" si="41"/>
        <v>-3.66356164612965</v>
      </c>
      <c r="Y662">
        <v>15</v>
      </c>
    </row>
    <row r="663" spans="1:25">
      <c r="A663" s="1">
        <v>736</v>
      </c>
      <c r="B663" t="s">
        <v>1025</v>
      </c>
      <c r="C663" t="s">
        <v>1072</v>
      </c>
      <c r="D663" t="s">
        <v>1073</v>
      </c>
      <c r="E663" t="s">
        <v>1051</v>
      </c>
      <c r="F663" t="s">
        <v>292</v>
      </c>
      <c r="G663">
        <v>15</v>
      </c>
      <c r="H663">
        <v>4</v>
      </c>
      <c r="I663">
        <v>31</v>
      </c>
      <c r="J663">
        <v>29</v>
      </c>
      <c r="K663">
        <v>10</v>
      </c>
      <c r="L663">
        <v>17</v>
      </c>
      <c r="M663">
        <v>24</v>
      </c>
      <c r="N663" t="s">
        <v>394</v>
      </c>
      <c r="O663" t="s">
        <v>774</v>
      </c>
      <c r="P663" t="s">
        <v>228</v>
      </c>
      <c r="Q663" t="s">
        <v>295</v>
      </c>
      <c r="R663" t="s">
        <v>1029</v>
      </c>
      <c r="S663">
        <v>78</v>
      </c>
      <c r="T663">
        <v>91</v>
      </c>
      <c r="U663">
        <f t="shared" si="42"/>
        <v>-7.31510672970423</v>
      </c>
      <c r="V663">
        <f t="shared" si="43"/>
        <v>-879.854069004598</v>
      </c>
      <c r="W663">
        <f t="shared" si="44"/>
        <v>-7315.10672970423</v>
      </c>
      <c r="X663">
        <f t="shared" si="41"/>
        <v>-3.05504885071041</v>
      </c>
      <c r="Y663">
        <v>15</v>
      </c>
    </row>
    <row r="664" spans="1:25">
      <c r="A664" s="1">
        <v>737</v>
      </c>
      <c r="B664" t="s">
        <v>1025</v>
      </c>
      <c r="C664" t="s">
        <v>1074</v>
      </c>
      <c r="D664" t="s">
        <v>1075</v>
      </c>
      <c r="E664" t="s">
        <v>1051</v>
      </c>
      <c r="F664" t="s">
        <v>292</v>
      </c>
      <c r="G664">
        <v>15</v>
      </c>
      <c r="H664">
        <v>4</v>
      </c>
      <c r="I664">
        <v>31</v>
      </c>
      <c r="J664">
        <v>29</v>
      </c>
      <c r="K664">
        <v>10</v>
      </c>
      <c r="L664">
        <v>17</v>
      </c>
      <c r="M664">
        <v>24</v>
      </c>
      <c r="N664" t="s">
        <v>394</v>
      </c>
      <c r="O664" t="s">
        <v>774</v>
      </c>
      <c r="P664" t="s">
        <v>228</v>
      </c>
      <c r="Q664" t="s">
        <v>295</v>
      </c>
      <c r="R664" t="s">
        <v>1029</v>
      </c>
      <c r="S664">
        <v>81</v>
      </c>
      <c r="T664">
        <v>96</v>
      </c>
      <c r="U664">
        <f t="shared" si="42"/>
        <v>-9.31869906004562</v>
      </c>
      <c r="V664">
        <f t="shared" si="43"/>
        <v>-1120.84424585586</v>
      </c>
      <c r="W664">
        <f t="shared" si="44"/>
        <v>-9318.69906004562</v>
      </c>
      <c r="X664">
        <f t="shared" si="41"/>
        <v>-3.89182029811063</v>
      </c>
      <c r="Y664">
        <v>15</v>
      </c>
    </row>
    <row r="665" spans="1:25">
      <c r="A665" s="1">
        <v>738</v>
      </c>
      <c r="B665" t="s">
        <v>1025</v>
      </c>
      <c r="C665" t="s">
        <v>1076</v>
      </c>
      <c r="D665" t="s">
        <v>1077</v>
      </c>
      <c r="E665" t="s">
        <v>1051</v>
      </c>
      <c r="F665" t="s">
        <v>292</v>
      </c>
      <c r="G665">
        <v>15</v>
      </c>
      <c r="H665">
        <v>4</v>
      </c>
      <c r="I665">
        <v>31</v>
      </c>
      <c r="J665">
        <v>29</v>
      </c>
      <c r="K665">
        <v>10</v>
      </c>
      <c r="L665">
        <v>17</v>
      </c>
      <c r="M665">
        <v>24</v>
      </c>
      <c r="N665" t="s">
        <v>394</v>
      </c>
      <c r="O665" t="s">
        <v>774</v>
      </c>
      <c r="P665" t="s">
        <v>228</v>
      </c>
      <c r="Q665" t="s">
        <v>295</v>
      </c>
      <c r="R665" t="s">
        <v>1029</v>
      </c>
      <c r="S665">
        <v>77</v>
      </c>
      <c r="T665">
        <v>96</v>
      </c>
      <c r="U665">
        <f t="shared" si="42"/>
        <v>-9.31869906004562</v>
      </c>
      <c r="V665">
        <f t="shared" si="43"/>
        <v>-1120.84424585586</v>
      </c>
      <c r="W665">
        <f t="shared" si="44"/>
        <v>-9318.69906004562</v>
      </c>
      <c r="X665">
        <f t="shared" si="41"/>
        <v>-3.89182029811063</v>
      </c>
      <c r="Y665">
        <v>15</v>
      </c>
    </row>
    <row r="666" spans="1:25">
      <c r="A666" s="1">
        <v>739</v>
      </c>
      <c r="B666" t="s">
        <v>1025</v>
      </c>
      <c r="C666" t="s">
        <v>1078</v>
      </c>
      <c r="D666" t="s">
        <v>1079</v>
      </c>
      <c r="E666" t="s">
        <v>1051</v>
      </c>
      <c r="F666" t="s">
        <v>292</v>
      </c>
      <c r="G666">
        <v>15</v>
      </c>
      <c r="H666">
        <v>4</v>
      </c>
      <c r="I666">
        <v>31</v>
      </c>
      <c r="J666">
        <v>29</v>
      </c>
      <c r="K666">
        <v>10</v>
      </c>
      <c r="L666">
        <v>17</v>
      </c>
      <c r="M666">
        <v>24</v>
      </c>
      <c r="N666" t="s">
        <v>394</v>
      </c>
      <c r="O666" t="s">
        <v>774</v>
      </c>
      <c r="P666" t="s">
        <v>228</v>
      </c>
      <c r="Q666" t="s">
        <v>295</v>
      </c>
      <c r="R666" t="s">
        <v>1029</v>
      </c>
      <c r="S666">
        <v>69</v>
      </c>
      <c r="T666">
        <v>79</v>
      </c>
      <c r="U666">
        <f t="shared" si="42"/>
        <v>-5.13094062024792</v>
      </c>
      <c r="V666">
        <f t="shared" si="43"/>
        <v>-617.144650017792</v>
      </c>
      <c r="W666">
        <f t="shared" si="44"/>
        <v>-5130.94062024792</v>
      </c>
      <c r="X666">
        <f t="shared" si="41"/>
        <v>-2.14286336811733</v>
      </c>
      <c r="Y666">
        <v>15</v>
      </c>
    </row>
    <row r="667" spans="1:25">
      <c r="A667" s="1">
        <v>740</v>
      </c>
      <c r="B667" t="s">
        <v>1025</v>
      </c>
      <c r="C667" t="s">
        <v>1080</v>
      </c>
      <c r="D667" t="s">
        <v>1081</v>
      </c>
      <c r="E667" t="s">
        <v>1051</v>
      </c>
      <c r="F667" t="s">
        <v>292</v>
      </c>
      <c r="G667">
        <v>15</v>
      </c>
      <c r="H667">
        <v>4</v>
      </c>
      <c r="I667">
        <v>31</v>
      </c>
      <c r="J667">
        <v>29</v>
      </c>
      <c r="K667">
        <v>10</v>
      </c>
      <c r="L667">
        <v>17</v>
      </c>
      <c r="M667">
        <v>24</v>
      </c>
      <c r="N667" t="s">
        <v>394</v>
      </c>
      <c r="O667" t="s">
        <v>774</v>
      </c>
      <c r="P667" t="s">
        <v>228</v>
      </c>
      <c r="Q667" t="s">
        <v>295</v>
      </c>
      <c r="R667" t="s">
        <v>1029</v>
      </c>
      <c r="S667">
        <v>76</v>
      </c>
      <c r="T667">
        <v>98</v>
      </c>
      <c r="U667">
        <f t="shared" si="42"/>
        <v>-11.0027020129975</v>
      </c>
      <c r="V667">
        <f t="shared" si="43"/>
        <v>-1323.39451683876</v>
      </c>
      <c r="W667">
        <f t="shared" si="44"/>
        <v>-11002.7020129975</v>
      </c>
      <c r="X667">
        <f t="shared" si="41"/>
        <v>-4.59511985013459</v>
      </c>
      <c r="Y667">
        <v>15</v>
      </c>
    </row>
    <row r="668" spans="1:25">
      <c r="A668" s="1">
        <v>741</v>
      </c>
      <c r="B668" t="s">
        <v>1025</v>
      </c>
      <c r="C668" t="s">
        <v>1082</v>
      </c>
      <c r="D668" t="s">
        <v>1083</v>
      </c>
      <c r="E668" t="s">
        <v>1051</v>
      </c>
      <c r="F668" t="s">
        <v>292</v>
      </c>
      <c r="G668">
        <v>15</v>
      </c>
      <c r="H668">
        <v>4</v>
      </c>
      <c r="I668">
        <v>31</v>
      </c>
      <c r="J668">
        <v>29</v>
      </c>
      <c r="K668">
        <v>10</v>
      </c>
      <c r="L668">
        <v>17</v>
      </c>
      <c r="M668">
        <v>24</v>
      </c>
      <c r="N668" t="s">
        <v>394</v>
      </c>
      <c r="O668" t="s">
        <v>774</v>
      </c>
      <c r="P668" t="s">
        <v>228</v>
      </c>
      <c r="Q668" t="s">
        <v>295</v>
      </c>
      <c r="R668" t="s">
        <v>1029</v>
      </c>
      <c r="S668">
        <v>71</v>
      </c>
      <c r="T668">
        <v>98</v>
      </c>
      <c r="U668">
        <f t="shared" si="42"/>
        <v>-11.0027020129975</v>
      </c>
      <c r="V668">
        <f t="shared" si="43"/>
        <v>-1323.39451683876</v>
      </c>
      <c r="W668">
        <f t="shared" si="44"/>
        <v>-11002.7020129975</v>
      </c>
      <c r="X668">
        <f t="shared" si="41"/>
        <v>-4.59511985013459</v>
      </c>
      <c r="Y668">
        <v>15</v>
      </c>
    </row>
    <row r="669" spans="1:25">
      <c r="A669" s="1">
        <v>742</v>
      </c>
      <c r="B669" t="s">
        <v>1025</v>
      </c>
      <c r="C669" t="s">
        <v>1084</v>
      </c>
      <c r="D669" t="s">
        <v>1085</v>
      </c>
      <c r="E669" t="s">
        <v>1051</v>
      </c>
      <c r="F669" t="s">
        <v>292</v>
      </c>
      <c r="G669">
        <v>15</v>
      </c>
      <c r="H669">
        <v>4</v>
      </c>
      <c r="I669">
        <v>31</v>
      </c>
      <c r="J669">
        <v>29</v>
      </c>
      <c r="K669">
        <v>10</v>
      </c>
      <c r="L669">
        <v>17</v>
      </c>
      <c r="M669">
        <v>24</v>
      </c>
      <c r="N669" t="s">
        <v>394</v>
      </c>
      <c r="O669" t="s">
        <v>774</v>
      </c>
      <c r="P669" t="s">
        <v>228</v>
      </c>
      <c r="Q669" t="s">
        <v>295</v>
      </c>
      <c r="R669" t="s">
        <v>1029</v>
      </c>
      <c r="S669">
        <v>77</v>
      </c>
      <c r="T669">
        <v>95</v>
      </c>
      <c r="U669">
        <f t="shared" si="42"/>
        <v>-8.77214923946551</v>
      </c>
      <c r="V669">
        <f t="shared" si="43"/>
        <v>-1055.10575408534</v>
      </c>
      <c r="W669">
        <f t="shared" si="44"/>
        <v>-8772.14923946551</v>
      </c>
      <c r="X669">
        <f t="shared" si="41"/>
        <v>-3.66356164612965</v>
      </c>
      <c r="Y669">
        <v>15</v>
      </c>
    </row>
    <row r="670" spans="1:25">
      <c r="A670" s="1">
        <v>743</v>
      </c>
      <c r="B670" t="s">
        <v>1025</v>
      </c>
      <c r="C670" t="s">
        <v>1086</v>
      </c>
      <c r="D670" t="s">
        <v>1087</v>
      </c>
      <c r="E670" t="s">
        <v>1051</v>
      </c>
      <c r="F670" t="s">
        <v>292</v>
      </c>
      <c r="G670">
        <v>15</v>
      </c>
      <c r="H670">
        <v>4</v>
      </c>
      <c r="I670">
        <v>31</v>
      </c>
      <c r="J670">
        <v>29</v>
      </c>
      <c r="K670">
        <v>10</v>
      </c>
      <c r="L670">
        <v>17</v>
      </c>
      <c r="M670">
        <v>24</v>
      </c>
      <c r="N670" t="s">
        <v>394</v>
      </c>
      <c r="O670" t="s">
        <v>774</v>
      </c>
      <c r="P670" t="s">
        <v>228</v>
      </c>
      <c r="Q670" t="s">
        <v>295</v>
      </c>
      <c r="R670" t="s">
        <v>1029</v>
      </c>
      <c r="S670">
        <v>75</v>
      </c>
      <c r="T670">
        <v>95</v>
      </c>
      <c r="U670">
        <f t="shared" si="42"/>
        <v>-8.77214923946551</v>
      </c>
      <c r="V670">
        <f t="shared" si="43"/>
        <v>-1055.10575408534</v>
      </c>
      <c r="W670">
        <f t="shared" si="44"/>
        <v>-8772.14923946551</v>
      </c>
      <c r="X670">
        <f t="shared" si="41"/>
        <v>-3.66356164612965</v>
      </c>
      <c r="Y670">
        <v>15</v>
      </c>
    </row>
    <row r="671" spans="1:25">
      <c r="A671" s="1">
        <v>744</v>
      </c>
      <c r="B671" t="s">
        <v>1025</v>
      </c>
      <c r="C671" t="s">
        <v>1088</v>
      </c>
      <c r="D671" t="s">
        <v>1089</v>
      </c>
      <c r="E671" t="s">
        <v>1051</v>
      </c>
      <c r="F671" t="s">
        <v>292</v>
      </c>
      <c r="G671">
        <v>15</v>
      </c>
      <c r="H671">
        <v>4</v>
      </c>
      <c r="I671">
        <v>31</v>
      </c>
      <c r="J671">
        <v>29</v>
      </c>
      <c r="K671">
        <v>10</v>
      </c>
      <c r="L671">
        <v>17</v>
      </c>
      <c r="M671">
        <v>24</v>
      </c>
      <c r="N671" t="s">
        <v>394</v>
      </c>
      <c r="O671" t="s">
        <v>774</v>
      </c>
      <c r="P671" t="s">
        <v>228</v>
      </c>
      <c r="Q671" t="s">
        <v>295</v>
      </c>
      <c r="R671" t="s">
        <v>1029</v>
      </c>
      <c r="S671">
        <v>56</v>
      </c>
      <c r="T671">
        <v>93</v>
      </c>
      <c r="U671">
        <f t="shared" si="42"/>
        <v>-7.94180426437709</v>
      </c>
      <c r="V671">
        <f t="shared" si="43"/>
        <v>-955.232651476677</v>
      </c>
      <c r="W671">
        <f t="shared" si="44"/>
        <v>-7941.80426437709</v>
      </c>
      <c r="X671">
        <f t="shared" si="41"/>
        <v>-3.31678003984957</v>
      </c>
      <c r="Y671">
        <v>15</v>
      </c>
    </row>
    <row r="672" spans="1:25">
      <c r="A672" s="1">
        <v>745</v>
      </c>
      <c r="B672" t="s">
        <v>1025</v>
      </c>
      <c r="C672" t="s">
        <v>1090</v>
      </c>
      <c r="D672" t="s">
        <v>1089</v>
      </c>
      <c r="E672" t="s">
        <v>1091</v>
      </c>
      <c r="F672" t="s">
        <v>292</v>
      </c>
      <c r="G672">
        <v>15</v>
      </c>
      <c r="H672">
        <v>4</v>
      </c>
      <c r="I672">
        <v>31</v>
      </c>
      <c r="J672">
        <v>29</v>
      </c>
      <c r="K672">
        <v>10</v>
      </c>
      <c r="L672">
        <v>17</v>
      </c>
      <c r="M672">
        <v>24</v>
      </c>
      <c r="N672" t="s">
        <v>394</v>
      </c>
      <c r="O672" t="s">
        <v>774</v>
      </c>
      <c r="P672" t="s">
        <v>228</v>
      </c>
      <c r="Q672" t="s">
        <v>295</v>
      </c>
      <c r="R672" t="s">
        <v>1029</v>
      </c>
      <c r="S672">
        <v>72</v>
      </c>
      <c r="T672">
        <v>95</v>
      </c>
      <c r="U672">
        <f t="shared" si="42"/>
        <v>-8.77214923946551</v>
      </c>
      <c r="V672">
        <f t="shared" si="43"/>
        <v>-1055.10575408534</v>
      </c>
      <c r="W672">
        <f t="shared" si="44"/>
        <v>-8772.14923946551</v>
      </c>
      <c r="X672">
        <f t="shared" si="41"/>
        <v>-3.66356164612965</v>
      </c>
      <c r="Y672">
        <v>15</v>
      </c>
    </row>
    <row r="673" spans="1:25">
      <c r="A673" s="1">
        <v>746</v>
      </c>
      <c r="B673" t="s">
        <v>1025</v>
      </c>
      <c r="C673" t="s">
        <v>1092</v>
      </c>
      <c r="D673" t="s">
        <v>1093</v>
      </c>
      <c r="E673" t="s">
        <v>1051</v>
      </c>
      <c r="F673" t="s">
        <v>292</v>
      </c>
      <c r="G673">
        <v>15</v>
      </c>
      <c r="H673">
        <v>4</v>
      </c>
      <c r="I673">
        <v>31</v>
      </c>
      <c r="J673">
        <v>29</v>
      </c>
      <c r="K673">
        <v>10</v>
      </c>
      <c r="L673">
        <v>17</v>
      </c>
      <c r="M673">
        <v>24</v>
      </c>
      <c r="N673" t="s">
        <v>394</v>
      </c>
      <c r="O673" t="s">
        <v>774</v>
      </c>
      <c r="P673" t="s">
        <v>228</v>
      </c>
      <c r="Q673" t="s">
        <v>295</v>
      </c>
      <c r="R673" t="s">
        <v>1029</v>
      </c>
      <c r="S673">
        <v>66</v>
      </c>
      <c r="T673">
        <v>77</v>
      </c>
      <c r="U673">
        <f t="shared" si="42"/>
        <v>-4.88621087003055</v>
      </c>
      <c r="V673">
        <f t="shared" si="43"/>
        <v>-587.708788793668</v>
      </c>
      <c r="W673">
        <f t="shared" si="44"/>
        <v>-4886.21087003055</v>
      </c>
      <c r="X673">
        <f t="shared" si="41"/>
        <v>-2.04065551664468</v>
      </c>
      <c r="Y673">
        <v>15</v>
      </c>
    </row>
    <row r="674" spans="1:25">
      <c r="A674" s="1">
        <v>747</v>
      </c>
      <c r="B674" t="s">
        <v>1025</v>
      </c>
      <c r="C674" t="s">
        <v>1094</v>
      </c>
      <c r="D674" t="s">
        <v>1095</v>
      </c>
      <c r="E674" t="s">
        <v>1051</v>
      </c>
      <c r="F674" t="s">
        <v>292</v>
      </c>
      <c r="G674">
        <v>15</v>
      </c>
      <c r="H674">
        <v>4</v>
      </c>
      <c r="I674">
        <v>31</v>
      </c>
      <c r="J674">
        <v>29</v>
      </c>
      <c r="K674">
        <v>10</v>
      </c>
      <c r="L674">
        <v>17</v>
      </c>
      <c r="M674">
        <v>24</v>
      </c>
      <c r="N674" t="s">
        <v>394</v>
      </c>
      <c r="O674" t="s">
        <v>774</v>
      </c>
      <c r="P674" t="s">
        <v>228</v>
      </c>
      <c r="Q674" t="s">
        <v>295</v>
      </c>
      <c r="R674" t="s">
        <v>1029</v>
      </c>
      <c r="S674">
        <v>47</v>
      </c>
      <c r="T674">
        <v>87</v>
      </c>
      <c r="U674">
        <f t="shared" si="42"/>
        <v>-6.38393704778702</v>
      </c>
      <c r="V674">
        <f t="shared" si="43"/>
        <v>-767.853866705198</v>
      </c>
      <c r="W674">
        <f t="shared" si="44"/>
        <v>-6383.93704778702</v>
      </c>
      <c r="X674">
        <f t="shared" si="41"/>
        <v>-2.66615925939305</v>
      </c>
      <c r="Y674">
        <v>15</v>
      </c>
    </row>
    <row r="675" spans="1:25">
      <c r="A675" s="1">
        <v>748</v>
      </c>
      <c r="B675" t="s">
        <v>1025</v>
      </c>
      <c r="C675" t="s">
        <v>1096</v>
      </c>
      <c r="D675" t="s">
        <v>1095</v>
      </c>
      <c r="E675" t="s">
        <v>1028</v>
      </c>
      <c r="F675" t="s">
        <v>292</v>
      </c>
      <c r="G675">
        <v>15</v>
      </c>
      <c r="H675">
        <v>4</v>
      </c>
      <c r="I675">
        <v>31</v>
      </c>
      <c r="J675">
        <v>29</v>
      </c>
      <c r="K675">
        <v>10</v>
      </c>
      <c r="L675">
        <v>17</v>
      </c>
      <c r="M675">
        <v>24</v>
      </c>
      <c r="N675" t="s">
        <v>394</v>
      </c>
      <c r="O675" t="s">
        <v>774</v>
      </c>
      <c r="P675" t="s">
        <v>228</v>
      </c>
      <c r="Q675" t="s">
        <v>295</v>
      </c>
      <c r="R675" t="s">
        <v>1029</v>
      </c>
      <c r="S675">
        <v>51</v>
      </c>
      <c r="T675">
        <v>90</v>
      </c>
      <c r="U675">
        <f t="shared" si="42"/>
        <v>-7.05025891376346</v>
      </c>
      <c r="V675">
        <f t="shared" si="43"/>
        <v>-847.998425999935</v>
      </c>
      <c r="W675">
        <f t="shared" si="44"/>
        <v>-7050.25891376346</v>
      </c>
      <c r="X675">
        <f t="shared" si="41"/>
        <v>-2.94443897916644</v>
      </c>
      <c r="Y675">
        <v>15</v>
      </c>
    </row>
    <row r="676" spans="1:25">
      <c r="A676" s="1">
        <v>749</v>
      </c>
      <c r="B676" t="s">
        <v>1025</v>
      </c>
      <c r="C676" t="s">
        <v>1097</v>
      </c>
      <c r="D676" t="s">
        <v>1098</v>
      </c>
      <c r="E676" t="s">
        <v>1051</v>
      </c>
      <c r="F676" t="s">
        <v>292</v>
      </c>
      <c r="G676">
        <v>15</v>
      </c>
      <c r="H676">
        <v>4</v>
      </c>
      <c r="I676">
        <v>31</v>
      </c>
      <c r="J676">
        <v>29</v>
      </c>
      <c r="K676">
        <v>10</v>
      </c>
      <c r="L676">
        <v>17</v>
      </c>
      <c r="M676">
        <v>24</v>
      </c>
      <c r="N676" t="s">
        <v>394</v>
      </c>
      <c r="O676" t="s">
        <v>774</v>
      </c>
      <c r="P676" t="s">
        <v>228</v>
      </c>
      <c r="Q676" t="s">
        <v>295</v>
      </c>
      <c r="R676" t="s">
        <v>1029</v>
      </c>
      <c r="S676">
        <v>78</v>
      </c>
      <c r="T676">
        <v>97</v>
      </c>
      <c r="U676">
        <f t="shared" si="42"/>
        <v>-10.0197196510294</v>
      </c>
      <c r="V676">
        <f t="shared" si="43"/>
        <v>-1205.16233474012</v>
      </c>
      <c r="W676">
        <f t="shared" si="44"/>
        <v>-10019.7196510294</v>
      </c>
      <c r="X676">
        <f t="shared" si="41"/>
        <v>-4.18459144006988</v>
      </c>
      <c r="Y676">
        <v>15</v>
      </c>
    </row>
    <row r="677" spans="1:25">
      <c r="A677" s="1">
        <v>750</v>
      </c>
      <c r="B677" t="s">
        <v>1025</v>
      </c>
      <c r="C677" t="s">
        <v>1099</v>
      </c>
      <c r="D677" t="s">
        <v>1100</v>
      </c>
      <c r="E677" t="s">
        <v>1051</v>
      </c>
      <c r="F677" t="s">
        <v>292</v>
      </c>
      <c r="G677">
        <v>15</v>
      </c>
      <c r="H677">
        <v>4</v>
      </c>
      <c r="I677">
        <v>31</v>
      </c>
      <c r="J677">
        <v>29</v>
      </c>
      <c r="K677">
        <v>10</v>
      </c>
      <c r="L677">
        <v>17</v>
      </c>
      <c r="M677">
        <v>24</v>
      </c>
      <c r="N677" t="s">
        <v>394</v>
      </c>
      <c r="O677" t="s">
        <v>774</v>
      </c>
      <c r="P677" t="s">
        <v>228</v>
      </c>
      <c r="Q677" t="s">
        <v>295</v>
      </c>
      <c r="R677" t="s">
        <v>1029</v>
      </c>
      <c r="S677">
        <v>73</v>
      </c>
      <c r="T677">
        <v>96</v>
      </c>
      <c r="U677">
        <f t="shared" si="42"/>
        <v>-9.31869906004562</v>
      </c>
      <c r="V677">
        <f t="shared" si="43"/>
        <v>-1120.84424585586</v>
      </c>
      <c r="W677">
        <f t="shared" si="44"/>
        <v>-9318.69906004562</v>
      </c>
      <c r="X677">
        <f t="shared" si="41"/>
        <v>-3.89182029811063</v>
      </c>
      <c r="Y677">
        <v>15</v>
      </c>
    </row>
    <row r="678" spans="1:25">
      <c r="A678" s="1">
        <v>751</v>
      </c>
      <c r="B678" t="s">
        <v>1025</v>
      </c>
      <c r="C678" t="s">
        <v>1101</v>
      </c>
      <c r="D678" t="s">
        <v>1102</v>
      </c>
      <c r="E678" t="s">
        <v>1051</v>
      </c>
      <c r="F678" t="s">
        <v>292</v>
      </c>
      <c r="G678">
        <v>15</v>
      </c>
      <c r="H678">
        <v>4</v>
      </c>
      <c r="I678">
        <v>31</v>
      </c>
      <c r="J678">
        <v>29</v>
      </c>
      <c r="K678">
        <v>10</v>
      </c>
      <c r="L678">
        <v>17</v>
      </c>
      <c r="M678">
        <v>24</v>
      </c>
      <c r="N678" t="s">
        <v>394</v>
      </c>
      <c r="O678" t="s">
        <v>774</v>
      </c>
      <c r="P678" t="s">
        <v>228</v>
      </c>
      <c r="Q678" t="s">
        <v>295</v>
      </c>
      <c r="R678" t="s">
        <v>1029</v>
      </c>
      <c r="S678">
        <v>69</v>
      </c>
      <c r="T678">
        <v>96</v>
      </c>
      <c r="U678">
        <f t="shared" si="42"/>
        <v>-9.31869906004562</v>
      </c>
      <c r="V678">
        <f t="shared" si="43"/>
        <v>-1120.84424585586</v>
      </c>
      <c r="W678">
        <f t="shared" si="44"/>
        <v>-9318.69906004562</v>
      </c>
      <c r="X678">
        <f t="shared" si="41"/>
        <v>-3.89182029811063</v>
      </c>
      <c r="Y678">
        <v>15</v>
      </c>
    </row>
    <row r="679" spans="1:25">
      <c r="A679" s="1">
        <v>752</v>
      </c>
      <c r="B679" t="s">
        <v>1025</v>
      </c>
      <c r="C679" t="s">
        <v>1103</v>
      </c>
      <c r="D679" t="s">
        <v>1027</v>
      </c>
      <c r="E679" t="s">
        <v>1028</v>
      </c>
      <c r="F679" t="s">
        <v>292</v>
      </c>
      <c r="G679">
        <v>25</v>
      </c>
      <c r="H679">
        <v>4</v>
      </c>
      <c r="I679">
        <v>58</v>
      </c>
      <c r="J679">
        <v>29</v>
      </c>
      <c r="K679">
        <v>9</v>
      </c>
      <c r="L679">
        <v>17</v>
      </c>
      <c r="M679">
        <v>12</v>
      </c>
      <c r="N679" t="s">
        <v>219</v>
      </c>
      <c r="O679" t="s">
        <v>774</v>
      </c>
      <c r="P679" t="s">
        <v>511</v>
      </c>
      <c r="Q679" t="s">
        <v>295</v>
      </c>
      <c r="R679" t="s">
        <v>1029</v>
      </c>
      <c r="S679">
        <v>62</v>
      </c>
      <c r="T679">
        <v>95</v>
      </c>
      <c r="U679">
        <f t="shared" si="42"/>
        <v>-9.07673775472472</v>
      </c>
      <c r="V679">
        <f t="shared" si="43"/>
        <v>-1091.74137054663</v>
      </c>
      <c r="W679">
        <f t="shared" si="44"/>
        <v>-9076.73775472472</v>
      </c>
      <c r="X679">
        <f t="shared" si="41"/>
        <v>-3.66356164612965</v>
      </c>
      <c r="Y679">
        <v>25</v>
      </c>
    </row>
    <row r="680" spans="1:25">
      <c r="A680" s="1">
        <v>753</v>
      </c>
      <c r="B680" t="s">
        <v>1025</v>
      </c>
      <c r="C680" t="s">
        <v>1104</v>
      </c>
      <c r="D680" t="s">
        <v>1105</v>
      </c>
      <c r="E680" t="s">
        <v>1028</v>
      </c>
      <c r="F680" t="s">
        <v>292</v>
      </c>
      <c r="G680">
        <v>25</v>
      </c>
      <c r="H680">
        <v>4</v>
      </c>
      <c r="I680">
        <v>58</v>
      </c>
      <c r="J680">
        <v>29</v>
      </c>
      <c r="K680">
        <v>9</v>
      </c>
      <c r="L680">
        <v>17</v>
      </c>
      <c r="M680">
        <v>12</v>
      </c>
      <c r="N680" t="s">
        <v>219</v>
      </c>
      <c r="O680" t="s">
        <v>774</v>
      </c>
      <c r="P680" t="s">
        <v>511</v>
      </c>
      <c r="Q680" t="s">
        <v>295</v>
      </c>
      <c r="R680" t="s">
        <v>1029</v>
      </c>
      <c r="S680">
        <v>65</v>
      </c>
      <c r="T680">
        <v>90</v>
      </c>
      <c r="U680">
        <f t="shared" si="42"/>
        <v>-7.29505957049136</v>
      </c>
      <c r="V680">
        <f t="shared" si="43"/>
        <v>-877.442815791599</v>
      </c>
      <c r="W680">
        <f t="shared" si="44"/>
        <v>-7295.05957049136</v>
      </c>
      <c r="X680">
        <f t="shared" si="41"/>
        <v>-2.94443897916644</v>
      </c>
      <c r="Y680">
        <v>25</v>
      </c>
    </row>
    <row r="681" spans="1:25">
      <c r="A681" s="1">
        <v>754</v>
      </c>
      <c r="B681" t="s">
        <v>1025</v>
      </c>
      <c r="C681" t="s">
        <v>1106</v>
      </c>
      <c r="D681" t="s">
        <v>1107</v>
      </c>
      <c r="E681" t="s">
        <v>1028</v>
      </c>
      <c r="F681" t="s">
        <v>292</v>
      </c>
      <c r="G681">
        <v>25</v>
      </c>
      <c r="H681">
        <v>4</v>
      </c>
      <c r="I681">
        <v>58</v>
      </c>
      <c r="J681">
        <v>29</v>
      </c>
      <c r="K681">
        <v>9</v>
      </c>
      <c r="L681">
        <v>17</v>
      </c>
      <c r="M681">
        <v>12</v>
      </c>
      <c r="N681" t="s">
        <v>219</v>
      </c>
      <c r="O681" t="s">
        <v>774</v>
      </c>
      <c r="P681" t="s">
        <v>511</v>
      </c>
      <c r="Q681" t="s">
        <v>295</v>
      </c>
      <c r="R681" t="s">
        <v>1029</v>
      </c>
      <c r="S681">
        <v>64</v>
      </c>
      <c r="T681">
        <v>93</v>
      </c>
      <c r="U681">
        <f t="shared" si="42"/>
        <v>-8.21756135689019</v>
      </c>
      <c r="V681">
        <f t="shared" si="43"/>
        <v>-988.400451875173</v>
      </c>
      <c r="W681">
        <f t="shared" si="44"/>
        <v>-8217.56135689019</v>
      </c>
      <c r="X681">
        <f t="shared" si="41"/>
        <v>-3.31678003984957</v>
      </c>
      <c r="Y681">
        <v>25</v>
      </c>
    </row>
    <row r="682" spans="1:25">
      <c r="A682" s="1">
        <v>755</v>
      </c>
      <c r="B682" t="s">
        <v>1025</v>
      </c>
      <c r="C682" t="s">
        <v>1108</v>
      </c>
      <c r="D682" t="s">
        <v>1109</v>
      </c>
      <c r="E682" t="s">
        <v>1028</v>
      </c>
      <c r="F682" t="s">
        <v>292</v>
      </c>
      <c r="G682">
        <v>25</v>
      </c>
      <c r="H682">
        <v>4</v>
      </c>
      <c r="I682">
        <v>58</v>
      </c>
      <c r="J682">
        <v>29</v>
      </c>
      <c r="K682">
        <v>9</v>
      </c>
      <c r="L682">
        <v>17</v>
      </c>
      <c r="M682">
        <v>12</v>
      </c>
      <c r="N682" t="s">
        <v>219</v>
      </c>
      <c r="O682" t="s">
        <v>774</v>
      </c>
      <c r="P682" t="s">
        <v>511</v>
      </c>
      <c r="Q682" t="s">
        <v>295</v>
      </c>
      <c r="R682" t="s">
        <v>1029</v>
      </c>
      <c r="S682">
        <v>74</v>
      </c>
      <c r="T682">
        <v>90</v>
      </c>
      <c r="U682">
        <f t="shared" si="42"/>
        <v>-7.29505957049136</v>
      </c>
      <c r="V682">
        <f t="shared" si="43"/>
        <v>-877.442815791599</v>
      </c>
      <c r="W682">
        <f t="shared" si="44"/>
        <v>-7295.05957049136</v>
      </c>
      <c r="X682">
        <f t="shared" si="41"/>
        <v>-2.94443897916644</v>
      </c>
      <c r="Y682">
        <v>25</v>
      </c>
    </row>
    <row r="683" spans="1:25">
      <c r="A683" s="1">
        <v>756</v>
      </c>
      <c r="B683" t="s">
        <v>1025</v>
      </c>
      <c r="C683" t="s">
        <v>1110</v>
      </c>
      <c r="D683" t="s">
        <v>1111</v>
      </c>
      <c r="E683" t="s">
        <v>1028</v>
      </c>
      <c r="F683" t="s">
        <v>292</v>
      </c>
      <c r="G683">
        <v>25</v>
      </c>
      <c r="H683">
        <v>4</v>
      </c>
      <c r="I683">
        <v>58</v>
      </c>
      <c r="J683">
        <v>29</v>
      </c>
      <c r="K683">
        <v>9</v>
      </c>
      <c r="L683">
        <v>17</v>
      </c>
      <c r="M683">
        <v>12</v>
      </c>
      <c r="N683" t="s">
        <v>219</v>
      </c>
      <c r="O683" t="s">
        <v>774</v>
      </c>
      <c r="P683" t="s">
        <v>511</v>
      </c>
      <c r="Q683" t="s">
        <v>295</v>
      </c>
      <c r="R683" t="s">
        <v>1029</v>
      </c>
      <c r="S683">
        <v>37</v>
      </c>
      <c r="T683">
        <v>92</v>
      </c>
      <c r="U683">
        <f t="shared" si="42"/>
        <v>-7.87385718456282</v>
      </c>
      <c r="V683">
        <f t="shared" si="43"/>
        <v>-947.060041443688</v>
      </c>
      <c r="W683">
        <f t="shared" si="44"/>
        <v>-7873.85718456282</v>
      </c>
      <c r="X683">
        <f t="shared" si="41"/>
        <v>-3.17805383034795</v>
      </c>
      <c r="Y683">
        <v>25</v>
      </c>
    </row>
    <row r="684" spans="1:25">
      <c r="A684" s="1">
        <v>757</v>
      </c>
      <c r="B684" t="s">
        <v>1025</v>
      </c>
      <c r="C684" t="s">
        <v>1112</v>
      </c>
      <c r="D684" t="s">
        <v>1113</v>
      </c>
      <c r="E684" t="s">
        <v>1028</v>
      </c>
      <c r="F684" t="s">
        <v>292</v>
      </c>
      <c r="G684">
        <v>25</v>
      </c>
      <c r="H684">
        <v>4</v>
      </c>
      <c r="I684">
        <v>58</v>
      </c>
      <c r="J684">
        <v>29</v>
      </c>
      <c r="K684">
        <v>9</v>
      </c>
      <c r="L684">
        <v>17</v>
      </c>
      <c r="M684">
        <v>12</v>
      </c>
      <c r="N684" t="s">
        <v>219</v>
      </c>
      <c r="O684" t="s">
        <v>774</v>
      </c>
      <c r="P684" t="s">
        <v>511</v>
      </c>
      <c r="Q684" t="s">
        <v>295</v>
      </c>
      <c r="R684" t="s">
        <v>1029</v>
      </c>
      <c r="S684">
        <v>34</v>
      </c>
      <c r="T684">
        <v>94</v>
      </c>
      <c r="U684">
        <f t="shared" si="42"/>
        <v>-8.61228478317256</v>
      </c>
      <c r="V684">
        <f t="shared" si="43"/>
        <v>-1035.87740957091</v>
      </c>
      <c r="W684">
        <f t="shared" si="44"/>
        <v>-8612.28478317256</v>
      </c>
      <c r="X684">
        <f t="shared" si="41"/>
        <v>-3.47609868983527</v>
      </c>
      <c r="Y684">
        <v>25</v>
      </c>
    </row>
    <row r="685" spans="1:25">
      <c r="A685" s="1">
        <v>758</v>
      </c>
      <c r="B685" t="s">
        <v>1025</v>
      </c>
      <c r="C685" t="s">
        <v>1114</v>
      </c>
      <c r="D685" t="s">
        <v>1115</v>
      </c>
      <c r="E685" t="s">
        <v>1028</v>
      </c>
      <c r="F685" t="s">
        <v>292</v>
      </c>
      <c r="G685">
        <v>25</v>
      </c>
      <c r="H685">
        <v>4</v>
      </c>
      <c r="I685">
        <v>58</v>
      </c>
      <c r="J685">
        <v>29</v>
      </c>
      <c r="K685">
        <v>9</v>
      </c>
      <c r="L685">
        <v>17</v>
      </c>
      <c r="M685">
        <v>12</v>
      </c>
      <c r="N685" t="s">
        <v>219</v>
      </c>
      <c r="O685" t="s">
        <v>774</v>
      </c>
      <c r="P685" t="s">
        <v>511</v>
      </c>
      <c r="Q685" t="s">
        <v>295</v>
      </c>
      <c r="R685" t="s">
        <v>1029</v>
      </c>
      <c r="S685">
        <v>66</v>
      </c>
      <c r="T685">
        <v>96</v>
      </c>
      <c r="U685">
        <f t="shared" si="42"/>
        <v>-9.64226499963054</v>
      </c>
      <c r="V685">
        <f t="shared" si="43"/>
        <v>-1159.76244883697</v>
      </c>
      <c r="W685">
        <f t="shared" si="44"/>
        <v>-9642.26499963054</v>
      </c>
      <c r="X685">
        <f t="shared" si="41"/>
        <v>-3.89182029811063</v>
      </c>
      <c r="Y685">
        <v>25</v>
      </c>
    </row>
    <row r="686" spans="1:25">
      <c r="A686" s="1">
        <v>759</v>
      </c>
      <c r="B686" t="s">
        <v>1025</v>
      </c>
      <c r="C686" t="s">
        <v>1114</v>
      </c>
      <c r="D686" t="s">
        <v>1083</v>
      </c>
      <c r="E686" t="s">
        <v>1028</v>
      </c>
      <c r="F686" t="s">
        <v>292</v>
      </c>
      <c r="G686">
        <v>25</v>
      </c>
      <c r="H686">
        <v>4</v>
      </c>
      <c r="I686">
        <v>58</v>
      </c>
      <c r="J686">
        <v>29</v>
      </c>
      <c r="K686">
        <v>9</v>
      </c>
      <c r="L686">
        <v>17</v>
      </c>
      <c r="M686">
        <v>12</v>
      </c>
      <c r="N686" t="s">
        <v>219</v>
      </c>
      <c r="O686" t="s">
        <v>774</v>
      </c>
      <c r="P686" t="s">
        <v>511</v>
      </c>
      <c r="Q686" t="s">
        <v>295</v>
      </c>
      <c r="R686" t="s">
        <v>1029</v>
      </c>
      <c r="S686">
        <v>58</v>
      </c>
      <c r="T686">
        <v>95</v>
      </c>
      <c r="U686">
        <f t="shared" si="42"/>
        <v>-9.07673775472472</v>
      </c>
      <c r="V686">
        <f t="shared" si="43"/>
        <v>-1091.74137054663</v>
      </c>
      <c r="W686">
        <f t="shared" si="44"/>
        <v>-9076.73775472472</v>
      </c>
      <c r="X686">
        <f t="shared" si="41"/>
        <v>-3.66356164612965</v>
      </c>
      <c r="Y686">
        <v>25</v>
      </c>
    </row>
    <row r="687" spans="1:25">
      <c r="A687" s="1">
        <v>760</v>
      </c>
      <c r="B687" t="s">
        <v>1025</v>
      </c>
      <c r="C687" t="s">
        <v>1116</v>
      </c>
      <c r="D687" t="s">
        <v>1117</v>
      </c>
      <c r="E687" t="s">
        <v>1028</v>
      </c>
      <c r="F687" t="s">
        <v>292</v>
      </c>
      <c r="G687">
        <v>25</v>
      </c>
      <c r="H687">
        <v>4</v>
      </c>
      <c r="I687">
        <v>58</v>
      </c>
      <c r="J687">
        <v>29</v>
      </c>
      <c r="K687">
        <v>9</v>
      </c>
      <c r="L687">
        <v>17</v>
      </c>
      <c r="M687">
        <v>12</v>
      </c>
      <c r="N687" t="s">
        <v>219</v>
      </c>
      <c r="O687" t="s">
        <v>774</v>
      </c>
      <c r="P687" t="s">
        <v>511</v>
      </c>
      <c r="Q687" t="s">
        <v>295</v>
      </c>
      <c r="R687" t="s">
        <v>1029</v>
      </c>
      <c r="S687">
        <v>48</v>
      </c>
      <c r="T687">
        <v>87</v>
      </c>
      <c r="U687">
        <f t="shared" si="42"/>
        <v>-6.60560152861296</v>
      </c>
      <c r="V687">
        <f t="shared" si="43"/>
        <v>-794.515459299129</v>
      </c>
      <c r="W687">
        <f t="shared" si="44"/>
        <v>-6605.60152861296</v>
      </c>
      <c r="X687">
        <f t="shared" si="41"/>
        <v>-2.66615925939305</v>
      </c>
      <c r="Y687">
        <v>25</v>
      </c>
    </row>
    <row r="688" spans="1:25">
      <c r="A688" s="1">
        <v>761</v>
      </c>
      <c r="B688" t="s">
        <v>1025</v>
      </c>
      <c r="C688" t="s">
        <v>1118</v>
      </c>
      <c r="D688" t="s">
        <v>1119</v>
      </c>
      <c r="E688" t="s">
        <v>1120</v>
      </c>
      <c r="F688" t="s">
        <v>292</v>
      </c>
      <c r="G688">
        <v>25</v>
      </c>
      <c r="H688">
        <v>4</v>
      </c>
      <c r="I688">
        <v>58</v>
      </c>
      <c r="J688">
        <v>29</v>
      </c>
      <c r="K688">
        <v>9</v>
      </c>
      <c r="L688">
        <v>17</v>
      </c>
      <c r="M688">
        <v>12</v>
      </c>
      <c r="N688" t="s">
        <v>219</v>
      </c>
      <c r="O688" t="s">
        <v>774</v>
      </c>
      <c r="P688" t="s">
        <v>511</v>
      </c>
      <c r="Q688" t="s">
        <v>295</v>
      </c>
      <c r="R688" t="s">
        <v>1029</v>
      </c>
      <c r="S688">
        <v>52</v>
      </c>
      <c r="T688">
        <v>93</v>
      </c>
      <c r="U688">
        <f t="shared" si="42"/>
        <v>-8.21756135689019</v>
      </c>
      <c r="V688">
        <f t="shared" si="43"/>
        <v>-988.400451875173</v>
      </c>
      <c r="W688">
        <f t="shared" si="44"/>
        <v>-8217.56135689019</v>
      </c>
      <c r="X688">
        <f t="shared" si="41"/>
        <v>-3.31678003984957</v>
      </c>
      <c r="Y688">
        <v>25</v>
      </c>
    </row>
    <row r="689" spans="1:25">
      <c r="A689" s="1">
        <v>762</v>
      </c>
      <c r="B689" t="s">
        <v>1025</v>
      </c>
      <c r="C689" t="s">
        <v>1121</v>
      </c>
      <c r="D689" t="s">
        <v>1122</v>
      </c>
      <c r="E689" t="s">
        <v>1120</v>
      </c>
      <c r="F689" t="s">
        <v>292</v>
      </c>
      <c r="G689">
        <v>25</v>
      </c>
      <c r="H689">
        <v>4</v>
      </c>
      <c r="I689">
        <v>58</v>
      </c>
      <c r="J689">
        <v>29</v>
      </c>
      <c r="K689">
        <v>9</v>
      </c>
      <c r="L689">
        <v>17</v>
      </c>
      <c r="M689">
        <v>12</v>
      </c>
      <c r="N689" t="s">
        <v>219</v>
      </c>
      <c r="O689" t="s">
        <v>774</v>
      </c>
      <c r="P689" t="s">
        <v>511</v>
      </c>
      <c r="Q689" t="s">
        <v>295</v>
      </c>
      <c r="R689" t="s">
        <v>1029</v>
      </c>
      <c r="S689">
        <v>50</v>
      </c>
      <c r="T689">
        <v>94</v>
      </c>
      <c r="U689">
        <f t="shared" si="42"/>
        <v>-8.61228478317256</v>
      </c>
      <c r="V689">
        <f t="shared" si="43"/>
        <v>-1035.87740957091</v>
      </c>
      <c r="W689">
        <f t="shared" si="44"/>
        <v>-8612.28478317256</v>
      </c>
      <c r="X689">
        <f t="shared" si="41"/>
        <v>-3.47609868983527</v>
      </c>
      <c r="Y689">
        <v>25</v>
      </c>
    </row>
    <row r="690" spans="1:25">
      <c r="A690" s="1">
        <v>763</v>
      </c>
      <c r="B690" t="s">
        <v>1025</v>
      </c>
      <c r="C690" t="s">
        <v>1123</v>
      </c>
      <c r="D690" t="s">
        <v>1122</v>
      </c>
      <c r="E690" t="s">
        <v>1124</v>
      </c>
      <c r="F690" t="s">
        <v>292</v>
      </c>
      <c r="G690">
        <v>25</v>
      </c>
      <c r="H690">
        <v>4</v>
      </c>
      <c r="I690">
        <v>58</v>
      </c>
      <c r="J690">
        <v>29</v>
      </c>
      <c r="K690">
        <v>9</v>
      </c>
      <c r="L690">
        <v>17</v>
      </c>
      <c r="M690">
        <v>12</v>
      </c>
      <c r="N690" t="s">
        <v>219</v>
      </c>
      <c r="O690" t="s">
        <v>774</v>
      </c>
      <c r="P690" t="s">
        <v>511</v>
      </c>
      <c r="Q690" t="s">
        <v>295</v>
      </c>
      <c r="R690" t="s">
        <v>1029</v>
      </c>
      <c r="S690">
        <v>46</v>
      </c>
      <c r="T690">
        <v>93</v>
      </c>
      <c r="U690">
        <f t="shared" si="42"/>
        <v>-8.21756135689019</v>
      </c>
      <c r="V690">
        <f t="shared" si="43"/>
        <v>-988.400451875173</v>
      </c>
      <c r="W690">
        <f t="shared" si="44"/>
        <v>-8217.56135689019</v>
      </c>
      <c r="X690">
        <f t="shared" si="41"/>
        <v>-3.31678003984957</v>
      </c>
      <c r="Y690">
        <v>25</v>
      </c>
    </row>
    <row r="691" spans="1:25">
      <c r="A691" s="1">
        <v>764</v>
      </c>
      <c r="B691" t="s">
        <v>1025</v>
      </c>
      <c r="C691" t="s">
        <v>1125</v>
      </c>
      <c r="D691" t="s">
        <v>1122</v>
      </c>
      <c r="E691" t="s">
        <v>1126</v>
      </c>
      <c r="F691" t="s">
        <v>292</v>
      </c>
      <c r="G691">
        <v>25</v>
      </c>
      <c r="H691">
        <v>4</v>
      </c>
      <c r="I691">
        <v>58</v>
      </c>
      <c r="J691">
        <v>29</v>
      </c>
      <c r="K691">
        <v>9</v>
      </c>
      <c r="L691">
        <v>17</v>
      </c>
      <c r="M691">
        <v>12</v>
      </c>
      <c r="N691" t="s">
        <v>219</v>
      </c>
      <c r="O691" t="s">
        <v>774</v>
      </c>
      <c r="P691" t="s">
        <v>511</v>
      </c>
      <c r="Q691" t="s">
        <v>295</v>
      </c>
      <c r="R691" t="s">
        <v>1029</v>
      </c>
      <c r="S691">
        <v>69</v>
      </c>
      <c r="T691">
        <v>94</v>
      </c>
      <c r="U691">
        <f t="shared" si="42"/>
        <v>-8.61228478317256</v>
      </c>
      <c r="V691">
        <f t="shared" si="43"/>
        <v>-1035.87740957091</v>
      </c>
      <c r="W691">
        <f t="shared" si="44"/>
        <v>-8612.28478317256</v>
      </c>
      <c r="X691">
        <f t="shared" si="41"/>
        <v>-3.47609868983527</v>
      </c>
      <c r="Y691">
        <v>25</v>
      </c>
    </row>
    <row r="692" spans="1:25">
      <c r="A692" s="1">
        <v>765</v>
      </c>
      <c r="B692" t="s">
        <v>1025</v>
      </c>
      <c r="C692" t="s">
        <v>1127</v>
      </c>
      <c r="D692" t="s">
        <v>1122</v>
      </c>
      <c r="E692" t="s">
        <v>191</v>
      </c>
      <c r="F692" t="s">
        <v>292</v>
      </c>
      <c r="G692">
        <v>25</v>
      </c>
      <c r="H692">
        <v>4</v>
      </c>
      <c r="I692">
        <v>58</v>
      </c>
      <c r="J692">
        <v>29</v>
      </c>
      <c r="K692">
        <v>9</v>
      </c>
      <c r="L692">
        <v>17</v>
      </c>
      <c r="M692">
        <v>12</v>
      </c>
      <c r="N692" t="s">
        <v>219</v>
      </c>
      <c r="O692" t="s">
        <v>774</v>
      </c>
      <c r="P692" t="s">
        <v>511</v>
      </c>
      <c r="Q692" t="s">
        <v>295</v>
      </c>
      <c r="R692" t="s">
        <v>1029</v>
      </c>
      <c r="S692">
        <v>50</v>
      </c>
      <c r="T692">
        <v>98</v>
      </c>
      <c r="U692">
        <f t="shared" si="42"/>
        <v>-11.3847402773377</v>
      </c>
      <c r="V692">
        <f t="shared" si="43"/>
        <v>-1369.34571534011</v>
      </c>
      <c r="W692">
        <f t="shared" si="44"/>
        <v>-11384.7402773377</v>
      </c>
      <c r="X692">
        <f t="shared" si="41"/>
        <v>-4.59511985013459</v>
      </c>
      <c r="Y692">
        <v>25</v>
      </c>
    </row>
    <row r="693" spans="1:25">
      <c r="A693" s="1">
        <v>766</v>
      </c>
      <c r="B693" t="s">
        <v>1025</v>
      </c>
      <c r="C693" t="s">
        <v>1128</v>
      </c>
      <c r="D693" t="s">
        <v>1122</v>
      </c>
      <c r="E693" t="s">
        <v>1129</v>
      </c>
      <c r="F693" t="s">
        <v>292</v>
      </c>
      <c r="G693">
        <v>25</v>
      </c>
      <c r="H693">
        <v>4</v>
      </c>
      <c r="I693">
        <v>58</v>
      </c>
      <c r="J693">
        <v>29</v>
      </c>
      <c r="K693">
        <v>9</v>
      </c>
      <c r="L693">
        <v>17</v>
      </c>
      <c r="M693">
        <v>12</v>
      </c>
      <c r="N693" t="s">
        <v>219</v>
      </c>
      <c r="O693" t="s">
        <v>774</v>
      </c>
      <c r="P693" t="s">
        <v>511</v>
      </c>
      <c r="Q693" t="s">
        <v>295</v>
      </c>
      <c r="R693" t="s">
        <v>1029</v>
      </c>
      <c r="S693">
        <v>49</v>
      </c>
      <c r="T693">
        <v>98</v>
      </c>
      <c r="U693">
        <f t="shared" si="42"/>
        <v>-11.3847402773377</v>
      </c>
      <c r="V693">
        <f t="shared" si="43"/>
        <v>-1369.34571534011</v>
      </c>
      <c r="W693">
        <f t="shared" si="44"/>
        <v>-11384.7402773377</v>
      </c>
      <c r="X693">
        <f t="shared" si="41"/>
        <v>-4.59511985013459</v>
      </c>
      <c r="Y693">
        <v>25</v>
      </c>
    </row>
    <row r="694" spans="1:25">
      <c r="A694" s="1">
        <v>767</v>
      </c>
      <c r="B694" t="s">
        <v>1025</v>
      </c>
      <c r="C694" t="s">
        <v>1130</v>
      </c>
      <c r="D694" t="s">
        <v>1131</v>
      </c>
      <c r="E694" t="s">
        <v>1132</v>
      </c>
      <c r="F694" t="s">
        <v>292</v>
      </c>
      <c r="G694">
        <v>25</v>
      </c>
      <c r="H694">
        <v>4</v>
      </c>
      <c r="I694">
        <v>58</v>
      </c>
      <c r="J694">
        <v>29</v>
      </c>
      <c r="K694">
        <v>9</v>
      </c>
      <c r="L694">
        <v>17</v>
      </c>
      <c r="M694">
        <v>12</v>
      </c>
      <c r="N694" t="s">
        <v>219</v>
      </c>
      <c r="O694" t="s">
        <v>774</v>
      </c>
      <c r="P694" t="s">
        <v>511</v>
      </c>
      <c r="Q694" t="s">
        <v>295</v>
      </c>
      <c r="R694" t="s">
        <v>1029</v>
      </c>
      <c r="S694">
        <v>45</v>
      </c>
      <c r="T694">
        <v>97</v>
      </c>
      <c r="U694">
        <f t="shared" si="42"/>
        <v>-10.3676265833568</v>
      </c>
      <c r="V694">
        <f t="shared" si="43"/>
        <v>-1247.00824914082</v>
      </c>
      <c r="W694">
        <f t="shared" si="44"/>
        <v>-10367.6265833568</v>
      </c>
      <c r="X694">
        <f t="shared" si="41"/>
        <v>-4.18459144006988</v>
      </c>
      <c r="Y694">
        <v>25</v>
      </c>
    </row>
    <row r="695" spans="1:25">
      <c r="A695" s="1">
        <v>768</v>
      </c>
      <c r="B695" t="s">
        <v>1025</v>
      </c>
      <c r="C695" t="s">
        <v>1133</v>
      </c>
      <c r="D695" t="s">
        <v>1131</v>
      </c>
      <c r="E695" t="s">
        <v>1134</v>
      </c>
      <c r="F695" t="s">
        <v>292</v>
      </c>
      <c r="G695">
        <v>25</v>
      </c>
      <c r="H695">
        <v>4</v>
      </c>
      <c r="I695">
        <v>58</v>
      </c>
      <c r="J695">
        <v>29</v>
      </c>
      <c r="K695">
        <v>9</v>
      </c>
      <c r="L695">
        <v>17</v>
      </c>
      <c r="M695">
        <v>12</v>
      </c>
      <c r="N695" t="s">
        <v>219</v>
      </c>
      <c r="O695" t="s">
        <v>774</v>
      </c>
      <c r="P695" t="s">
        <v>511</v>
      </c>
      <c r="Q695" t="s">
        <v>295</v>
      </c>
      <c r="R695" t="s">
        <v>1029</v>
      </c>
      <c r="S695">
        <v>75</v>
      </c>
      <c r="T695">
        <v>97</v>
      </c>
      <c r="U695">
        <f t="shared" si="42"/>
        <v>-10.3676265833568</v>
      </c>
      <c r="V695">
        <f t="shared" si="43"/>
        <v>-1247.00824914082</v>
      </c>
      <c r="W695">
        <f t="shared" si="44"/>
        <v>-10367.6265833568</v>
      </c>
      <c r="X695">
        <f t="shared" si="41"/>
        <v>-4.18459144006988</v>
      </c>
      <c r="Y695">
        <v>25</v>
      </c>
    </row>
    <row r="696" spans="1:25">
      <c r="A696" s="1">
        <v>774</v>
      </c>
      <c r="B696" t="s">
        <v>1025</v>
      </c>
      <c r="C696" t="s">
        <v>1026</v>
      </c>
      <c r="D696" t="s">
        <v>1027</v>
      </c>
      <c r="E696" t="s">
        <v>1028</v>
      </c>
      <c r="F696" t="s">
        <v>292</v>
      </c>
      <c r="G696">
        <v>15</v>
      </c>
      <c r="H696">
        <v>4</v>
      </c>
      <c r="I696">
        <v>64</v>
      </c>
      <c r="J696">
        <v>29</v>
      </c>
      <c r="K696">
        <v>10</v>
      </c>
      <c r="L696">
        <v>17</v>
      </c>
      <c r="M696">
        <v>24</v>
      </c>
      <c r="N696" t="s">
        <v>1135</v>
      </c>
      <c r="O696" t="s">
        <v>774</v>
      </c>
      <c r="P696" t="s">
        <v>228</v>
      </c>
      <c r="Q696" t="s">
        <v>295</v>
      </c>
      <c r="R696" t="s">
        <v>1029</v>
      </c>
      <c r="S696">
        <v>67</v>
      </c>
      <c r="T696">
        <v>96</v>
      </c>
      <c r="U696">
        <f t="shared" si="42"/>
        <v>-9.31869906004562</v>
      </c>
      <c r="V696">
        <f t="shared" si="43"/>
        <v>-1120.84424585586</v>
      </c>
      <c r="W696">
        <f t="shared" si="44"/>
        <v>-9318.69906004562</v>
      </c>
      <c r="X696">
        <f t="shared" ref="X696:X750" si="45">-LN((1+T696*0.01)/(1-T696*0.01))</f>
        <v>-3.89182029811063</v>
      </c>
      <c r="Y696">
        <v>15</v>
      </c>
    </row>
    <row r="697" spans="1:25">
      <c r="A697" s="1">
        <v>775</v>
      </c>
      <c r="B697" t="s">
        <v>1025</v>
      </c>
      <c r="C697" t="s">
        <v>1026</v>
      </c>
      <c r="D697" t="s">
        <v>1027</v>
      </c>
      <c r="E697" t="s">
        <v>1028</v>
      </c>
      <c r="F697" t="s">
        <v>292</v>
      </c>
      <c r="G697">
        <v>15</v>
      </c>
      <c r="H697">
        <v>4</v>
      </c>
      <c r="I697">
        <v>49</v>
      </c>
      <c r="J697">
        <v>29</v>
      </c>
      <c r="K697">
        <v>10</v>
      </c>
      <c r="L697">
        <v>17</v>
      </c>
      <c r="M697">
        <v>24</v>
      </c>
      <c r="N697" t="s">
        <v>29</v>
      </c>
      <c r="O697" t="s">
        <v>774</v>
      </c>
      <c r="P697" t="s">
        <v>228</v>
      </c>
      <c r="Q697" t="s">
        <v>295</v>
      </c>
      <c r="R697" t="s">
        <v>1029</v>
      </c>
      <c r="S697">
        <v>19</v>
      </c>
      <c r="T697">
        <v>95</v>
      </c>
      <c r="U697">
        <f t="shared" si="42"/>
        <v>-8.77214923946551</v>
      </c>
      <c r="V697">
        <f t="shared" si="43"/>
        <v>-1055.10575408534</v>
      </c>
      <c r="W697">
        <f t="shared" si="44"/>
        <v>-8772.14923946551</v>
      </c>
      <c r="X697">
        <f t="shared" si="45"/>
        <v>-3.66356164612965</v>
      </c>
      <c r="Y697">
        <v>15</v>
      </c>
    </row>
    <row r="698" spans="1:25">
      <c r="A698" s="1">
        <v>776</v>
      </c>
      <c r="B698" t="s">
        <v>1025</v>
      </c>
      <c r="C698" t="s">
        <v>1026</v>
      </c>
      <c r="D698" t="s">
        <v>1027</v>
      </c>
      <c r="E698" t="s">
        <v>1028</v>
      </c>
      <c r="F698" t="s">
        <v>292</v>
      </c>
      <c r="G698">
        <v>15</v>
      </c>
      <c r="H698">
        <v>4</v>
      </c>
      <c r="I698">
        <v>0</v>
      </c>
      <c r="J698">
        <v>29</v>
      </c>
      <c r="K698">
        <v>10</v>
      </c>
      <c r="L698">
        <v>17</v>
      </c>
      <c r="M698">
        <v>24</v>
      </c>
      <c r="N698" t="s">
        <v>121</v>
      </c>
      <c r="O698" t="s">
        <v>774</v>
      </c>
      <c r="P698" t="s">
        <v>228</v>
      </c>
      <c r="Q698" t="s">
        <v>295</v>
      </c>
      <c r="R698" t="s">
        <v>1029</v>
      </c>
      <c r="S698">
        <v>15</v>
      </c>
      <c r="T698">
        <v>36</v>
      </c>
      <c r="U698">
        <f t="shared" si="42"/>
        <v>-1.80485532430768</v>
      </c>
      <c r="V698">
        <f t="shared" si="43"/>
        <v>-217.086279084397</v>
      </c>
      <c r="W698">
        <f t="shared" si="44"/>
        <v>-1804.85532430768</v>
      </c>
      <c r="X698">
        <f t="shared" si="45"/>
        <v>-0.75377180237638</v>
      </c>
      <c r="Y698">
        <v>15</v>
      </c>
    </row>
    <row r="699" spans="1:25">
      <c r="A699" s="1">
        <v>777</v>
      </c>
      <c r="B699" t="s">
        <v>1025</v>
      </c>
      <c r="C699" t="s">
        <v>1026</v>
      </c>
      <c r="D699" t="s">
        <v>1027</v>
      </c>
      <c r="E699" t="s">
        <v>1028</v>
      </c>
      <c r="F699" t="s">
        <v>292</v>
      </c>
      <c r="G699">
        <v>15</v>
      </c>
      <c r="H699">
        <v>4</v>
      </c>
      <c r="I699">
        <v>45</v>
      </c>
      <c r="J699">
        <v>29</v>
      </c>
      <c r="K699">
        <v>10</v>
      </c>
      <c r="L699">
        <v>17</v>
      </c>
      <c r="M699">
        <v>24</v>
      </c>
      <c r="N699" t="s">
        <v>1136</v>
      </c>
      <c r="O699" t="s">
        <v>774</v>
      </c>
      <c r="P699" t="s">
        <v>228</v>
      </c>
      <c r="Q699" t="s">
        <v>295</v>
      </c>
      <c r="R699" t="s">
        <v>1029</v>
      </c>
      <c r="S699">
        <v>4</v>
      </c>
      <c r="T699">
        <v>71</v>
      </c>
      <c r="U699">
        <f t="shared" si="42"/>
        <v>-4.2486028641376</v>
      </c>
      <c r="V699">
        <f t="shared" si="43"/>
        <v>-511.017905236662</v>
      </c>
      <c r="W699">
        <f t="shared" si="44"/>
        <v>-4248.6028641376</v>
      </c>
      <c r="X699">
        <f t="shared" si="45"/>
        <v>-1.77436772651619</v>
      </c>
      <c r="Y699">
        <v>15</v>
      </c>
    </row>
    <row r="700" spans="1:25">
      <c r="A700" s="1">
        <v>778</v>
      </c>
      <c r="B700" t="s">
        <v>1025</v>
      </c>
      <c r="C700" t="s">
        <v>1026</v>
      </c>
      <c r="D700" t="s">
        <v>1027</v>
      </c>
      <c r="E700" t="s">
        <v>1028</v>
      </c>
      <c r="F700" t="s">
        <v>292</v>
      </c>
      <c r="G700">
        <v>15</v>
      </c>
      <c r="H700">
        <v>4</v>
      </c>
      <c r="I700">
        <v>9</v>
      </c>
      <c r="J700">
        <v>29</v>
      </c>
      <c r="K700">
        <v>10</v>
      </c>
      <c r="L700">
        <v>17</v>
      </c>
      <c r="M700">
        <v>24</v>
      </c>
      <c r="N700" t="s">
        <v>207</v>
      </c>
      <c r="O700" t="s">
        <v>774</v>
      </c>
      <c r="P700" t="s">
        <v>228</v>
      </c>
      <c r="Q700" t="s">
        <v>295</v>
      </c>
      <c r="R700" t="s">
        <v>1029</v>
      </c>
      <c r="S700">
        <v>7</v>
      </c>
      <c r="T700">
        <v>59</v>
      </c>
      <c r="U700">
        <f t="shared" si="42"/>
        <v>-3.24525063590766</v>
      </c>
      <c r="V700">
        <f t="shared" si="43"/>
        <v>-390.335655028586</v>
      </c>
      <c r="W700">
        <f t="shared" si="44"/>
        <v>-3245.25063590766</v>
      </c>
      <c r="X700">
        <f t="shared" si="45"/>
        <v>-1.35533213551592</v>
      </c>
      <c r="Y700">
        <v>15</v>
      </c>
    </row>
    <row r="701" spans="1:25">
      <c r="A701" s="1">
        <v>779</v>
      </c>
      <c r="B701" t="s">
        <v>1025</v>
      </c>
      <c r="C701" t="s">
        <v>1026</v>
      </c>
      <c r="D701" t="s">
        <v>1027</v>
      </c>
      <c r="E701" t="s">
        <v>1028</v>
      </c>
      <c r="F701" t="s">
        <v>292</v>
      </c>
      <c r="G701">
        <v>15</v>
      </c>
      <c r="H701">
        <v>4</v>
      </c>
      <c r="I701">
        <v>42</v>
      </c>
      <c r="J701">
        <v>29</v>
      </c>
      <c r="K701">
        <v>10</v>
      </c>
      <c r="L701">
        <v>17</v>
      </c>
      <c r="M701">
        <v>24</v>
      </c>
      <c r="N701" t="s">
        <v>395</v>
      </c>
      <c r="O701" t="s">
        <v>774</v>
      </c>
      <c r="P701" t="s">
        <v>228</v>
      </c>
      <c r="Q701" t="s">
        <v>295</v>
      </c>
      <c r="R701" t="s">
        <v>1029</v>
      </c>
      <c r="S701">
        <v>9</v>
      </c>
      <c r="T701">
        <v>84</v>
      </c>
      <c r="U701">
        <f t="shared" si="42"/>
        <v>-5.84803389659315</v>
      </c>
      <c r="V701">
        <f t="shared" si="43"/>
        <v>-703.395946186331</v>
      </c>
      <c r="W701">
        <f t="shared" si="44"/>
        <v>-5848.03389659315</v>
      </c>
      <c r="X701">
        <f t="shared" si="45"/>
        <v>-2.4423470353692</v>
      </c>
      <c r="Y701">
        <v>15</v>
      </c>
    </row>
    <row r="702" spans="1:25">
      <c r="A702" s="1">
        <v>780</v>
      </c>
      <c r="B702" t="s">
        <v>1025</v>
      </c>
      <c r="C702" t="s">
        <v>1026</v>
      </c>
      <c r="D702" t="s">
        <v>1027</v>
      </c>
      <c r="E702" t="s">
        <v>1028</v>
      </c>
      <c r="F702" t="s">
        <v>292</v>
      </c>
      <c r="G702">
        <v>15</v>
      </c>
      <c r="H702">
        <v>4</v>
      </c>
      <c r="I702">
        <v>10</v>
      </c>
      <c r="J702">
        <v>29</v>
      </c>
      <c r="K702">
        <v>10</v>
      </c>
      <c r="L702">
        <v>17</v>
      </c>
      <c r="M702">
        <v>24</v>
      </c>
      <c r="N702" t="s">
        <v>1137</v>
      </c>
      <c r="O702" t="s">
        <v>774</v>
      </c>
      <c r="P702" t="s">
        <v>228</v>
      </c>
      <c r="Q702" t="s">
        <v>295</v>
      </c>
      <c r="R702" t="s">
        <v>1029</v>
      </c>
      <c r="S702">
        <v>6</v>
      </c>
      <c r="T702">
        <v>87</v>
      </c>
      <c r="U702">
        <f t="shared" si="42"/>
        <v>-6.38393704778702</v>
      </c>
      <c r="V702">
        <f t="shared" si="43"/>
        <v>-767.853866705198</v>
      </c>
      <c r="W702">
        <f t="shared" si="44"/>
        <v>-6383.93704778702</v>
      </c>
      <c r="X702">
        <f t="shared" si="45"/>
        <v>-2.66615925939305</v>
      </c>
      <c r="Y702">
        <v>15</v>
      </c>
    </row>
    <row r="703" spans="1:25">
      <c r="A703" s="1">
        <v>782</v>
      </c>
      <c r="B703" t="s">
        <v>1025</v>
      </c>
      <c r="C703" t="s">
        <v>1026</v>
      </c>
      <c r="D703" t="s">
        <v>1027</v>
      </c>
      <c r="E703" t="s">
        <v>1028</v>
      </c>
      <c r="F703" t="s">
        <v>292</v>
      </c>
      <c r="G703">
        <v>15</v>
      </c>
      <c r="H703">
        <v>4</v>
      </c>
      <c r="I703">
        <v>2</v>
      </c>
      <c r="J703">
        <v>29</v>
      </c>
      <c r="K703">
        <v>10</v>
      </c>
      <c r="L703">
        <v>17</v>
      </c>
      <c r="M703">
        <v>24</v>
      </c>
      <c r="N703" t="s">
        <v>1138</v>
      </c>
      <c r="O703" t="s">
        <v>774</v>
      </c>
      <c r="P703" t="s">
        <v>228</v>
      </c>
      <c r="Q703" t="s">
        <v>295</v>
      </c>
      <c r="R703" t="s">
        <v>1029</v>
      </c>
      <c r="S703">
        <v>10</v>
      </c>
      <c r="T703">
        <v>90</v>
      </c>
      <c r="U703">
        <f t="shared" si="42"/>
        <v>-7.05025891376346</v>
      </c>
      <c r="V703">
        <f t="shared" si="43"/>
        <v>-847.998425999935</v>
      </c>
      <c r="W703">
        <f t="shared" si="44"/>
        <v>-7050.25891376346</v>
      </c>
      <c r="X703">
        <f t="shared" si="45"/>
        <v>-2.94443897916644</v>
      </c>
      <c r="Y703">
        <v>15</v>
      </c>
    </row>
    <row r="704" spans="1:25">
      <c r="A704" s="1">
        <v>783</v>
      </c>
      <c r="B704" t="s">
        <v>1139</v>
      </c>
      <c r="C704" t="s">
        <v>1140</v>
      </c>
      <c r="D704" t="s">
        <v>1141</v>
      </c>
      <c r="E704" t="s">
        <v>1142</v>
      </c>
      <c r="F704" t="s">
        <v>292</v>
      </c>
      <c r="G704">
        <v>10</v>
      </c>
      <c r="H704">
        <v>4</v>
      </c>
      <c r="I704">
        <v>31</v>
      </c>
      <c r="J704">
        <v>57</v>
      </c>
      <c r="K704">
        <v>10</v>
      </c>
      <c r="L704">
        <v>17</v>
      </c>
      <c r="M704">
        <v>48</v>
      </c>
      <c r="N704" t="s">
        <v>394</v>
      </c>
      <c r="O704" t="s">
        <v>1143</v>
      </c>
      <c r="P704" t="s">
        <v>228</v>
      </c>
      <c r="Q704" t="s">
        <v>295</v>
      </c>
      <c r="R704" t="s">
        <v>1144</v>
      </c>
      <c r="S704">
        <v>98</v>
      </c>
      <c r="T704">
        <v>91</v>
      </c>
      <c r="U704">
        <f t="shared" si="42"/>
        <v>-7.1881083489802</v>
      </c>
      <c r="V704">
        <f t="shared" si="43"/>
        <v>-864.578824751046</v>
      </c>
      <c r="W704">
        <f t="shared" si="44"/>
        <v>-7188.1083489802</v>
      </c>
      <c r="X704">
        <f t="shared" si="45"/>
        <v>-3.05504885071041</v>
      </c>
      <c r="Y704">
        <v>10</v>
      </c>
    </row>
    <row r="705" spans="1:25">
      <c r="A705" s="1">
        <v>784</v>
      </c>
      <c r="B705" t="s">
        <v>1139</v>
      </c>
      <c r="C705" t="s">
        <v>1140</v>
      </c>
      <c r="D705" t="s">
        <v>1141</v>
      </c>
      <c r="E705" t="s">
        <v>1142</v>
      </c>
      <c r="F705" t="s">
        <v>292</v>
      </c>
      <c r="G705">
        <v>10</v>
      </c>
      <c r="H705">
        <v>4</v>
      </c>
      <c r="I705">
        <v>31</v>
      </c>
      <c r="J705">
        <v>45</v>
      </c>
      <c r="K705">
        <v>10</v>
      </c>
      <c r="L705">
        <v>17</v>
      </c>
      <c r="M705">
        <v>48</v>
      </c>
      <c r="N705" t="s">
        <v>394</v>
      </c>
      <c r="O705" t="s">
        <v>30</v>
      </c>
      <c r="P705" t="s">
        <v>228</v>
      </c>
      <c r="Q705" t="s">
        <v>295</v>
      </c>
      <c r="R705" t="s">
        <v>1144</v>
      </c>
      <c r="S705">
        <v>99</v>
      </c>
      <c r="T705">
        <v>90</v>
      </c>
      <c r="U705">
        <f t="shared" si="42"/>
        <v>-6.92785858539951</v>
      </c>
      <c r="V705">
        <f t="shared" si="43"/>
        <v>-833.276231104103</v>
      </c>
      <c r="W705">
        <f t="shared" si="44"/>
        <v>-6927.85858539951</v>
      </c>
      <c r="X705">
        <f t="shared" si="45"/>
        <v>-2.94443897916644</v>
      </c>
      <c r="Y705">
        <v>10</v>
      </c>
    </row>
    <row r="706" spans="1:25">
      <c r="A706" s="1">
        <v>785</v>
      </c>
      <c r="B706" t="s">
        <v>1139</v>
      </c>
      <c r="C706" t="s">
        <v>1140</v>
      </c>
      <c r="D706" t="s">
        <v>1141</v>
      </c>
      <c r="E706" t="s">
        <v>1142</v>
      </c>
      <c r="F706" t="s">
        <v>292</v>
      </c>
      <c r="G706">
        <v>10</v>
      </c>
      <c r="H706">
        <v>4</v>
      </c>
      <c r="I706">
        <v>31</v>
      </c>
      <c r="J706">
        <v>59</v>
      </c>
      <c r="K706">
        <v>10</v>
      </c>
      <c r="L706">
        <v>17</v>
      </c>
      <c r="M706">
        <v>48</v>
      </c>
      <c r="N706" t="s">
        <v>394</v>
      </c>
      <c r="O706" t="s">
        <v>883</v>
      </c>
      <c r="P706" t="s">
        <v>228</v>
      </c>
      <c r="Q706" t="s">
        <v>295</v>
      </c>
      <c r="R706" t="s">
        <v>1144</v>
      </c>
      <c r="S706">
        <v>85</v>
      </c>
      <c r="T706">
        <v>85</v>
      </c>
      <c r="U706">
        <f t="shared" ref="U706:U769" si="46">LN((1+T706*0.01)/(1-T706*0.01))*-(G706+273)*8.314/1000</f>
        <v>-5.91110843503969</v>
      </c>
      <c r="V706">
        <f t="shared" ref="V706:V769" si="47">LN((1+T706*0.01)/(1-T706*0.01))*-(G706+273)</f>
        <v>-710.98249158524</v>
      </c>
      <c r="W706">
        <f t="shared" ref="W706:W769" si="48">LN((1+T706*0.01)/(1-T706*0.01))*-(G706+273)*8.314</f>
        <v>-5911.10843503969</v>
      </c>
      <c r="X706">
        <f t="shared" si="45"/>
        <v>-2.51230562397611</v>
      </c>
      <c r="Y706">
        <v>10</v>
      </c>
    </row>
    <row r="707" spans="1:25">
      <c r="A707" s="1">
        <v>786</v>
      </c>
      <c r="B707" t="s">
        <v>1139</v>
      </c>
      <c r="C707" t="s">
        <v>1140</v>
      </c>
      <c r="D707" t="s">
        <v>1141</v>
      </c>
      <c r="E707" t="s">
        <v>1142</v>
      </c>
      <c r="F707" t="s">
        <v>292</v>
      </c>
      <c r="G707">
        <v>25</v>
      </c>
      <c r="H707">
        <v>4</v>
      </c>
      <c r="I707">
        <v>31</v>
      </c>
      <c r="J707">
        <v>57</v>
      </c>
      <c r="K707">
        <v>10</v>
      </c>
      <c r="L707">
        <v>17</v>
      </c>
      <c r="M707">
        <v>48</v>
      </c>
      <c r="N707" t="s">
        <v>394</v>
      </c>
      <c r="O707" t="s">
        <v>1143</v>
      </c>
      <c r="P707" t="s">
        <v>228</v>
      </c>
      <c r="Q707" t="s">
        <v>295</v>
      </c>
      <c r="R707" t="s">
        <v>1144</v>
      </c>
      <c r="S707">
        <v>85</v>
      </c>
      <c r="T707">
        <v>84</v>
      </c>
      <c r="U707">
        <f t="shared" si="46"/>
        <v>-6.05109062911375</v>
      </c>
      <c r="V707">
        <f t="shared" si="47"/>
        <v>-727.819416540023</v>
      </c>
      <c r="W707">
        <f t="shared" si="48"/>
        <v>-6051.09062911375</v>
      </c>
      <c r="X707">
        <f t="shared" si="45"/>
        <v>-2.4423470353692</v>
      </c>
      <c r="Y707">
        <v>25</v>
      </c>
    </row>
    <row r="708" spans="1:25">
      <c r="A708" s="1">
        <v>787</v>
      </c>
      <c r="B708" t="s">
        <v>1145</v>
      </c>
      <c r="C708" t="s">
        <v>1140</v>
      </c>
      <c r="D708" t="s">
        <v>1141</v>
      </c>
      <c r="E708" t="s">
        <v>1142</v>
      </c>
      <c r="F708" t="s">
        <v>292</v>
      </c>
      <c r="G708">
        <v>10</v>
      </c>
      <c r="H708">
        <v>4</v>
      </c>
      <c r="I708">
        <v>31</v>
      </c>
      <c r="J708">
        <v>57</v>
      </c>
      <c r="K708">
        <v>10</v>
      </c>
      <c r="L708">
        <v>17</v>
      </c>
      <c r="M708">
        <v>48</v>
      </c>
      <c r="N708" t="s">
        <v>394</v>
      </c>
      <c r="O708" t="s">
        <v>1143</v>
      </c>
      <c r="P708" t="s">
        <v>228</v>
      </c>
      <c r="Q708" t="s">
        <v>295</v>
      </c>
      <c r="R708" t="s">
        <v>1144</v>
      </c>
      <c r="S708">
        <v>91</v>
      </c>
      <c r="T708">
        <v>65</v>
      </c>
      <c r="U708">
        <f t="shared" si="46"/>
        <v>-3.64834172896056</v>
      </c>
      <c r="V708">
        <f t="shared" si="47"/>
        <v>-438.81906771236</v>
      </c>
      <c r="W708">
        <f t="shared" si="48"/>
        <v>-3648.34172896056</v>
      </c>
      <c r="X708">
        <f t="shared" si="45"/>
        <v>-1.55059741241117</v>
      </c>
      <c r="Y708">
        <v>10</v>
      </c>
    </row>
    <row r="709" spans="1:25">
      <c r="A709" s="1">
        <v>788</v>
      </c>
      <c r="B709" t="s">
        <v>1146</v>
      </c>
      <c r="C709" t="s">
        <v>1140</v>
      </c>
      <c r="D709" t="s">
        <v>1141</v>
      </c>
      <c r="E709" t="s">
        <v>1142</v>
      </c>
      <c r="F709" t="s">
        <v>292</v>
      </c>
      <c r="G709">
        <v>10</v>
      </c>
      <c r="H709">
        <v>4</v>
      </c>
      <c r="I709">
        <v>31</v>
      </c>
      <c r="J709">
        <v>57</v>
      </c>
      <c r="K709">
        <v>10</v>
      </c>
      <c r="L709">
        <v>17</v>
      </c>
      <c r="M709">
        <v>48</v>
      </c>
      <c r="N709" t="s">
        <v>394</v>
      </c>
      <c r="O709" t="s">
        <v>1143</v>
      </c>
      <c r="P709" t="s">
        <v>228</v>
      </c>
      <c r="Q709" t="s">
        <v>295</v>
      </c>
      <c r="R709" t="s">
        <v>1144</v>
      </c>
      <c r="S709">
        <v>64</v>
      </c>
      <c r="T709">
        <v>80</v>
      </c>
      <c r="U709">
        <f t="shared" si="46"/>
        <v>-5.16976621348045</v>
      </c>
      <c r="V709">
        <f t="shared" si="47"/>
        <v>-621.81455538615</v>
      </c>
      <c r="W709">
        <f t="shared" si="48"/>
        <v>-5169.76621348045</v>
      </c>
      <c r="X709">
        <f t="shared" si="45"/>
        <v>-2.19722457733622</v>
      </c>
      <c r="Y709">
        <v>10</v>
      </c>
    </row>
    <row r="710" spans="1:25">
      <c r="A710" s="1">
        <v>789</v>
      </c>
      <c r="B710" t="s">
        <v>696</v>
      </c>
      <c r="C710" t="s">
        <v>1140</v>
      </c>
      <c r="D710" t="s">
        <v>1141</v>
      </c>
      <c r="E710" t="s">
        <v>1142</v>
      </c>
      <c r="F710" t="s">
        <v>292</v>
      </c>
      <c r="G710">
        <v>10</v>
      </c>
      <c r="H710">
        <v>4</v>
      </c>
      <c r="I710">
        <v>31</v>
      </c>
      <c r="J710">
        <v>57</v>
      </c>
      <c r="K710">
        <v>10</v>
      </c>
      <c r="L710">
        <v>17</v>
      </c>
      <c r="M710">
        <v>48</v>
      </c>
      <c r="N710" t="s">
        <v>394</v>
      </c>
      <c r="O710" t="s">
        <v>1143</v>
      </c>
      <c r="P710" t="s">
        <v>228</v>
      </c>
      <c r="Q710" t="s">
        <v>295</v>
      </c>
      <c r="R710" t="s">
        <v>1144</v>
      </c>
      <c r="S710">
        <v>99</v>
      </c>
      <c r="T710">
        <v>2</v>
      </c>
      <c r="U710">
        <f t="shared" si="46"/>
        <v>-0.0941270316098575</v>
      </c>
      <c r="V710">
        <f t="shared" si="47"/>
        <v>-11.3215096956769</v>
      </c>
      <c r="W710">
        <f t="shared" si="48"/>
        <v>-94.1270316098575</v>
      </c>
      <c r="X710">
        <f t="shared" si="45"/>
        <v>-0.0400053346136992</v>
      </c>
      <c r="Y710">
        <v>10</v>
      </c>
    </row>
    <row r="711" spans="1:25">
      <c r="A711" s="1">
        <v>790</v>
      </c>
      <c r="B711" t="s">
        <v>1147</v>
      </c>
      <c r="C711" t="s">
        <v>1140</v>
      </c>
      <c r="D711" t="s">
        <v>1141</v>
      </c>
      <c r="E711" t="s">
        <v>1142</v>
      </c>
      <c r="F711" t="s">
        <v>292</v>
      </c>
      <c r="G711">
        <v>10</v>
      </c>
      <c r="H711">
        <v>4</v>
      </c>
      <c r="I711">
        <v>31</v>
      </c>
      <c r="J711">
        <v>57</v>
      </c>
      <c r="K711">
        <v>10</v>
      </c>
      <c r="L711">
        <v>17</v>
      </c>
      <c r="M711">
        <v>48</v>
      </c>
      <c r="N711" t="s">
        <v>394</v>
      </c>
      <c r="O711" t="s">
        <v>1143</v>
      </c>
      <c r="P711" t="s">
        <v>228</v>
      </c>
      <c r="Q711" t="s">
        <v>295</v>
      </c>
      <c r="R711" t="s">
        <v>1144</v>
      </c>
      <c r="S711">
        <v>35</v>
      </c>
      <c r="T711">
        <v>88</v>
      </c>
      <c r="U711">
        <f t="shared" si="46"/>
        <v>-6.47398287971451</v>
      </c>
      <c r="V711">
        <f t="shared" si="47"/>
        <v>-778.684493590872</v>
      </c>
      <c r="W711">
        <f t="shared" si="48"/>
        <v>-6473.98287971451</v>
      </c>
      <c r="X711">
        <f t="shared" si="45"/>
        <v>-2.75153531304195</v>
      </c>
      <c r="Y711">
        <v>10</v>
      </c>
    </row>
    <row r="712" spans="1:25">
      <c r="A712" s="1">
        <v>791</v>
      </c>
      <c r="B712" t="s">
        <v>1139</v>
      </c>
      <c r="C712" t="s">
        <v>1148</v>
      </c>
      <c r="D712" t="s">
        <v>1149</v>
      </c>
      <c r="E712" t="s">
        <v>1142</v>
      </c>
      <c r="F712" t="s">
        <v>292</v>
      </c>
      <c r="G712">
        <v>10</v>
      </c>
      <c r="H712">
        <v>4</v>
      </c>
      <c r="I712">
        <v>31</v>
      </c>
      <c r="J712">
        <v>57</v>
      </c>
      <c r="K712">
        <v>10</v>
      </c>
      <c r="L712">
        <v>17</v>
      </c>
      <c r="M712">
        <v>48</v>
      </c>
      <c r="N712" t="s">
        <v>394</v>
      </c>
      <c r="O712" t="s">
        <v>1143</v>
      </c>
      <c r="P712" t="s">
        <v>228</v>
      </c>
      <c r="Q712" t="s">
        <v>295</v>
      </c>
      <c r="R712" t="s">
        <v>1144</v>
      </c>
      <c r="S712">
        <v>66</v>
      </c>
      <c r="T712">
        <v>93</v>
      </c>
      <c r="U712">
        <f t="shared" si="46"/>
        <v>-7.80392571812055</v>
      </c>
      <c r="V712">
        <f t="shared" si="47"/>
        <v>-938.648751277429</v>
      </c>
      <c r="W712">
        <f t="shared" si="48"/>
        <v>-7803.92571812055</v>
      </c>
      <c r="X712">
        <f t="shared" si="45"/>
        <v>-3.31678003984957</v>
      </c>
      <c r="Y712">
        <v>10</v>
      </c>
    </row>
    <row r="713" spans="1:25">
      <c r="A713" s="1">
        <v>792</v>
      </c>
      <c r="B713" t="s">
        <v>1139</v>
      </c>
      <c r="C713" t="s">
        <v>1150</v>
      </c>
      <c r="D713" t="s">
        <v>1151</v>
      </c>
      <c r="E713" t="s">
        <v>1142</v>
      </c>
      <c r="F713" t="s">
        <v>292</v>
      </c>
      <c r="G713">
        <v>10</v>
      </c>
      <c r="H713">
        <v>4</v>
      </c>
      <c r="I713">
        <v>31</v>
      </c>
      <c r="J713">
        <v>57</v>
      </c>
      <c r="K713">
        <v>10</v>
      </c>
      <c r="L713">
        <v>17</v>
      </c>
      <c r="M713">
        <v>48</v>
      </c>
      <c r="N713" t="s">
        <v>394</v>
      </c>
      <c r="O713" t="s">
        <v>1143</v>
      </c>
      <c r="P713" t="s">
        <v>228</v>
      </c>
      <c r="Q713" t="s">
        <v>295</v>
      </c>
      <c r="R713" t="s">
        <v>1144</v>
      </c>
      <c r="S713">
        <v>45</v>
      </c>
      <c r="T713">
        <v>88</v>
      </c>
      <c r="U713">
        <f t="shared" si="46"/>
        <v>-6.47398287971451</v>
      </c>
      <c r="V713">
        <f t="shared" si="47"/>
        <v>-778.684493590872</v>
      </c>
      <c r="W713">
        <f t="shared" si="48"/>
        <v>-6473.98287971451</v>
      </c>
      <c r="X713">
        <f t="shared" si="45"/>
        <v>-2.75153531304195</v>
      </c>
      <c r="Y713">
        <v>10</v>
      </c>
    </row>
    <row r="714" spans="1:25">
      <c r="A714" s="1">
        <v>793</v>
      </c>
      <c r="B714" t="s">
        <v>1139</v>
      </c>
      <c r="C714" t="s">
        <v>1152</v>
      </c>
      <c r="D714" t="s">
        <v>1153</v>
      </c>
      <c r="E714" t="s">
        <v>1142</v>
      </c>
      <c r="F714" t="s">
        <v>292</v>
      </c>
      <c r="G714">
        <v>10</v>
      </c>
      <c r="H714">
        <v>4</v>
      </c>
      <c r="I714">
        <v>31</v>
      </c>
      <c r="J714">
        <v>57</v>
      </c>
      <c r="K714">
        <v>10</v>
      </c>
      <c r="L714">
        <v>17</v>
      </c>
      <c r="M714">
        <v>48</v>
      </c>
      <c r="N714" t="s">
        <v>394</v>
      </c>
      <c r="O714" t="s">
        <v>1143</v>
      </c>
      <c r="P714" t="s">
        <v>228</v>
      </c>
      <c r="Q714" t="s">
        <v>295</v>
      </c>
      <c r="R714" t="s">
        <v>1144</v>
      </c>
      <c r="S714">
        <v>54</v>
      </c>
      <c r="T714">
        <v>90</v>
      </c>
      <c r="U714">
        <f t="shared" si="46"/>
        <v>-6.92785858539951</v>
      </c>
      <c r="V714">
        <f t="shared" si="47"/>
        <v>-833.276231104103</v>
      </c>
      <c r="W714">
        <f t="shared" si="48"/>
        <v>-6927.85858539951</v>
      </c>
      <c r="X714">
        <f t="shared" si="45"/>
        <v>-2.94443897916644</v>
      </c>
      <c r="Y714">
        <v>10</v>
      </c>
    </row>
    <row r="715" spans="1:25">
      <c r="A715" s="1">
        <v>794</v>
      </c>
      <c r="B715" t="s">
        <v>1139</v>
      </c>
      <c r="C715" t="s">
        <v>1154</v>
      </c>
      <c r="D715" t="s">
        <v>1155</v>
      </c>
      <c r="E715" t="s">
        <v>1142</v>
      </c>
      <c r="F715" t="s">
        <v>292</v>
      </c>
      <c r="G715">
        <v>10</v>
      </c>
      <c r="H715">
        <v>4</v>
      </c>
      <c r="I715">
        <v>31</v>
      </c>
      <c r="J715">
        <v>57</v>
      </c>
      <c r="K715">
        <v>10</v>
      </c>
      <c r="L715">
        <v>17</v>
      </c>
      <c r="M715">
        <v>48</v>
      </c>
      <c r="N715" t="s">
        <v>394</v>
      </c>
      <c r="O715" t="s">
        <v>1143</v>
      </c>
      <c r="P715" t="s">
        <v>228</v>
      </c>
      <c r="Q715" t="s">
        <v>295</v>
      </c>
      <c r="R715" t="s">
        <v>1144</v>
      </c>
      <c r="S715">
        <v>77</v>
      </c>
      <c r="T715">
        <v>92</v>
      </c>
      <c r="U715">
        <f t="shared" si="46"/>
        <v>-7.47752209138013</v>
      </c>
      <c r="V715">
        <f t="shared" si="47"/>
        <v>-899.389233988469</v>
      </c>
      <c r="W715">
        <f t="shared" si="48"/>
        <v>-7477.52209138013</v>
      </c>
      <c r="X715">
        <f t="shared" si="45"/>
        <v>-3.17805383034795</v>
      </c>
      <c r="Y715">
        <v>10</v>
      </c>
    </row>
    <row r="716" spans="1:25">
      <c r="A716" s="1">
        <v>795</v>
      </c>
      <c r="B716" t="s">
        <v>1139</v>
      </c>
      <c r="C716" t="s">
        <v>1156</v>
      </c>
      <c r="D716" t="s">
        <v>1157</v>
      </c>
      <c r="E716" t="s">
        <v>1142</v>
      </c>
      <c r="F716" t="s">
        <v>292</v>
      </c>
      <c r="G716">
        <v>10</v>
      </c>
      <c r="H716">
        <v>4</v>
      </c>
      <c r="I716">
        <v>31</v>
      </c>
      <c r="J716">
        <v>57</v>
      </c>
      <c r="K716">
        <v>10</v>
      </c>
      <c r="L716">
        <v>17</v>
      </c>
      <c r="M716">
        <v>48</v>
      </c>
      <c r="N716" t="s">
        <v>394</v>
      </c>
      <c r="O716" t="s">
        <v>1143</v>
      </c>
      <c r="P716" t="s">
        <v>228</v>
      </c>
      <c r="Q716" t="s">
        <v>295</v>
      </c>
      <c r="R716" t="s">
        <v>1144</v>
      </c>
      <c r="S716">
        <v>21</v>
      </c>
      <c r="T716">
        <v>86</v>
      </c>
      <c r="U716">
        <f t="shared" si="46"/>
        <v>-6.08612306353297</v>
      </c>
      <c r="V716">
        <f t="shared" si="47"/>
        <v>-732.033084379718</v>
      </c>
      <c r="W716">
        <f t="shared" si="48"/>
        <v>-6086.12306353297</v>
      </c>
      <c r="X716">
        <f t="shared" si="45"/>
        <v>-2.58668934409794</v>
      </c>
      <c r="Y716">
        <v>10</v>
      </c>
    </row>
    <row r="717" spans="1:25">
      <c r="A717" s="1">
        <v>796</v>
      </c>
      <c r="B717" t="s">
        <v>1139</v>
      </c>
      <c r="C717" t="s">
        <v>1158</v>
      </c>
      <c r="D717" t="s">
        <v>1159</v>
      </c>
      <c r="E717" t="s">
        <v>1142</v>
      </c>
      <c r="F717" t="s">
        <v>292</v>
      </c>
      <c r="G717">
        <v>10</v>
      </c>
      <c r="H717">
        <v>4</v>
      </c>
      <c r="I717">
        <v>31</v>
      </c>
      <c r="J717">
        <v>57</v>
      </c>
      <c r="K717">
        <v>10</v>
      </c>
      <c r="L717">
        <v>17</v>
      </c>
      <c r="M717">
        <v>48</v>
      </c>
      <c r="N717" t="s">
        <v>394</v>
      </c>
      <c r="O717" t="s">
        <v>1143</v>
      </c>
      <c r="P717" t="s">
        <v>228</v>
      </c>
      <c r="Q717" t="s">
        <v>295</v>
      </c>
      <c r="R717" t="s">
        <v>1144</v>
      </c>
      <c r="S717">
        <v>60</v>
      </c>
      <c r="T717">
        <v>60</v>
      </c>
      <c r="U717">
        <f t="shared" si="46"/>
        <v>-3.26175932309327</v>
      </c>
      <c r="V717">
        <f t="shared" si="47"/>
        <v>-392.321304196929</v>
      </c>
      <c r="W717">
        <f t="shared" si="48"/>
        <v>-3261.75932309327</v>
      </c>
      <c r="X717">
        <f t="shared" si="45"/>
        <v>-1.38629436111989</v>
      </c>
      <c r="Y717">
        <v>10</v>
      </c>
    </row>
    <row r="718" spans="1:25">
      <c r="A718" s="1">
        <v>797</v>
      </c>
      <c r="B718" t="s">
        <v>1139</v>
      </c>
      <c r="C718" t="s">
        <v>1160</v>
      </c>
      <c r="D718" t="s">
        <v>1161</v>
      </c>
      <c r="E718" t="s">
        <v>1142</v>
      </c>
      <c r="F718" t="s">
        <v>292</v>
      </c>
      <c r="G718">
        <v>10</v>
      </c>
      <c r="H718">
        <v>4</v>
      </c>
      <c r="I718">
        <v>31</v>
      </c>
      <c r="J718">
        <v>57</v>
      </c>
      <c r="K718">
        <v>10</v>
      </c>
      <c r="L718">
        <v>17</v>
      </c>
      <c r="M718">
        <v>48</v>
      </c>
      <c r="N718" t="s">
        <v>394</v>
      </c>
      <c r="O718" t="s">
        <v>1143</v>
      </c>
      <c r="P718" t="s">
        <v>228</v>
      </c>
      <c r="Q718" t="s">
        <v>295</v>
      </c>
      <c r="R718" t="s">
        <v>1144</v>
      </c>
      <c r="S718">
        <v>25</v>
      </c>
      <c r="T718">
        <v>41</v>
      </c>
      <c r="U718">
        <f t="shared" si="46"/>
        <v>-2.04986618785206</v>
      </c>
      <c r="V718">
        <f t="shared" si="47"/>
        <v>-246.555952351703</v>
      </c>
      <c r="W718">
        <f t="shared" si="48"/>
        <v>-2049.86618785206</v>
      </c>
      <c r="X718">
        <f t="shared" si="45"/>
        <v>-0.871222446472449</v>
      </c>
      <c r="Y718">
        <v>10</v>
      </c>
    </row>
    <row r="719" spans="1:25">
      <c r="A719" s="1">
        <v>798</v>
      </c>
      <c r="B719" t="s">
        <v>1139</v>
      </c>
      <c r="C719" t="s">
        <v>1162</v>
      </c>
      <c r="D719" t="s">
        <v>1163</v>
      </c>
      <c r="E719" t="s">
        <v>1142</v>
      </c>
      <c r="F719" t="s">
        <v>292</v>
      </c>
      <c r="G719">
        <v>10</v>
      </c>
      <c r="H719">
        <v>4</v>
      </c>
      <c r="I719">
        <v>31</v>
      </c>
      <c r="J719">
        <v>57</v>
      </c>
      <c r="K719">
        <v>10</v>
      </c>
      <c r="L719">
        <v>17</v>
      </c>
      <c r="M719">
        <v>48</v>
      </c>
      <c r="N719" t="s">
        <v>394</v>
      </c>
      <c r="O719" t="s">
        <v>1143</v>
      </c>
      <c r="P719" t="s">
        <v>228</v>
      </c>
      <c r="Q719" t="s">
        <v>295</v>
      </c>
      <c r="R719" t="s">
        <v>1144</v>
      </c>
      <c r="S719">
        <v>53</v>
      </c>
      <c r="T719">
        <v>65</v>
      </c>
      <c r="U719">
        <f t="shared" si="46"/>
        <v>-3.64834172896056</v>
      </c>
      <c r="V719">
        <f t="shared" si="47"/>
        <v>-438.81906771236</v>
      </c>
      <c r="W719">
        <f t="shared" si="48"/>
        <v>-3648.34172896056</v>
      </c>
      <c r="X719">
        <f t="shared" si="45"/>
        <v>-1.55059741241117</v>
      </c>
      <c r="Y719">
        <v>10</v>
      </c>
    </row>
    <row r="720" spans="1:25">
      <c r="A720" s="1">
        <v>799</v>
      </c>
      <c r="B720" t="s">
        <v>1139</v>
      </c>
      <c r="C720" t="s">
        <v>1164</v>
      </c>
      <c r="D720" t="s">
        <v>1165</v>
      </c>
      <c r="E720" t="s">
        <v>622</v>
      </c>
      <c r="F720" t="s">
        <v>292</v>
      </c>
      <c r="G720">
        <v>10</v>
      </c>
      <c r="H720">
        <v>4</v>
      </c>
      <c r="I720">
        <v>31</v>
      </c>
      <c r="J720">
        <v>57</v>
      </c>
      <c r="K720">
        <v>10</v>
      </c>
      <c r="L720">
        <v>17</v>
      </c>
      <c r="M720">
        <v>48</v>
      </c>
      <c r="N720" t="s">
        <v>394</v>
      </c>
      <c r="O720" t="s">
        <v>1143</v>
      </c>
      <c r="P720" t="s">
        <v>228</v>
      </c>
      <c r="Q720" t="s">
        <v>295</v>
      </c>
      <c r="R720" t="s">
        <v>1144</v>
      </c>
      <c r="S720">
        <v>68</v>
      </c>
      <c r="T720">
        <v>44</v>
      </c>
      <c r="U720">
        <f t="shared" si="46"/>
        <v>-2.2221878299005</v>
      </c>
      <c r="V720">
        <f t="shared" si="47"/>
        <v>-267.282635301961</v>
      </c>
      <c r="W720">
        <f t="shared" si="48"/>
        <v>-2222.1878299005</v>
      </c>
      <c r="X720">
        <f t="shared" si="45"/>
        <v>-0.944461608840851</v>
      </c>
      <c r="Y720">
        <v>10</v>
      </c>
    </row>
    <row r="721" spans="1:25">
      <c r="A721" s="1">
        <v>800</v>
      </c>
      <c r="B721" t="s">
        <v>1139</v>
      </c>
      <c r="C721" t="s">
        <v>1166</v>
      </c>
      <c r="D721" t="s">
        <v>1167</v>
      </c>
      <c r="E721" t="s">
        <v>1168</v>
      </c>
      <c r="F721" t="s">
        <v>292</v>
      </c>
      <c r="G721">
        <v>10</v>
      </c>
      <c r="H721">
        <v>4</v>
      </c>
      <c r="I721">
        <v>31</v>
      </c>
      <c r="J721">
        <v>57</v>
      </c>
      <c r="K721">
        <v>10</v>
      </c>
      <c r="L721">
        <v>17</v>
      </c>
      <c r="M721">
        <v>48</v>
      </c>
      <c r="N721" t="s">
        <v>394</v>
      </c>
      <c r="O721" t="s">
        <v>1143</v>
      </c>
      <c r="P721" t="s">
        <v>228</v>
      </c>
      <c r="Q721" t="s">
        <v>295</v>
      </c>
      <c r="R721" t="s">
        <v>1144</v>
      </c>
      <c r="S721">
        <v>51</v>
      </c>
      <c r="T721">
        <v>34</v>
      </c>
      <c r="U721">
        <f t="shared" si="46"/>
        <v>-1.66626171175832</v>
      </c>
      <c r="V721">
        <f t="shared" si="47"/>
        <v>-200.41637139263</v>
      </c>
      <c r="W721">
        <f t="shared" si="48"/>
        <v>-1666.26171175832</v>
      </c>
      <c r="X721">
        <f t="shared" si="45"/>
        <v>-0.708185057924486</v>
      </c>
      <c r="Y721">
        <v>10</v>
      </c>
    </row>
    <row r="722" spans="1:25">
      <c r="A722" s="1">
        <v>801</v>
      </c>
      <c r="B722" t="s">
        <v>1139</v>
      </c>
      <c r="C722" t="s">
        <v>1140</v>
      </c>
      <c r="D722" t="s">
        <v>1169</v>
      </c>
      <c r="E722" t="s">
        <v>618</v>
      </c>
      <c r="F722" t="s">
        <v>292</v>
      </c>
      <c r="G722">
        <v>10</v>
      </c>
      <c r="H722">
        <v>4</v>
      </c>
      <c r="I722">
        <v>31</v>
      </c>
      <c r="J722">
        <v>57</v>
      </c>
      <c r="K722">
        <v>10</v>
      </c>
      <c r="L722">
        <v>17</v>
      </c>
      <c r="M722">
        <v>48</v>
      </c>
      <c r="N722" t="s">
        <v>394</v>
      </c>
      <c r="O722" t="s">
        <v>1143</v>
      </c>
      <c r="P722" t="s">
        <v>228</v>
      </c>
      <c r="Q722" t="s">
        <v>295</v>
      </c>
      <c r="R722" t="s">
        <v>1144</v>
      </c>
      <c r="S722">
        <v>96</v>
      </c>
      <c r="T722">
        <v>92</v>
      </c>
      <c r="U722">
        <f t="shared" si="46"/>
        <v>-7.47752209138013</v>
      </c>
      <c r="V722">
        <f t="shared" si="47"/>
        <v>-899.389233988469</v>
      </c>
      <c r="W722">
        <f t="shared" si="48"/>
        <v>-7477.52209138013</v>
      </c>
      <c r="X722">
        <f t="shared" si="45"/>
        <v>-3.17805383034795</v>
      </c>
      <c r="Y722">
        <v>10</v>
      </c>
    </row>
    <row r="723" spans="1:25">
      <c r="A723" s="1">
        <v>802</v>
      </c>
      <c r="B723" t="s">
        <v>1139</v>
      </c>
      <c r="C723" t="s">
        <v>1170</v>
      </c>
      <c r="D723" t="s">
        <v>1169</v>
      </c>
      <c r="E723" t="s">
        <v>622</v>
      </c>
      <c r="F723" t="s">
        <v>292</v>
      </c>
      <c r="G723">
        <v>10</v>
      </c>
      <c r="H723">
        <v>4</v>
      </c>
      <c r="I723">
        <v>31</v>
      </c>
      <c r="J723">
        <v>57</v>
      </c>
      <c r="K723">
        <v>10</v>
      </c>
      <c r="L723">
        <v>17</v>
      </c>
      <c r="M723">
        <v>48</v>
      </c>
      <c r="N723" t="s">
        <v>394</v>
      </c>
      <c r="O723" t="s">
        <v>1143</v>
      </c>
      <c r="P723" t="s">
        <v>228</v>
      </c>
      <c r="Q723" t="s">
        <v>295</v>
      </c>
      <c r="R723" t="s">
        <v>1144</v>
      </c>
      <c r="S723">
        <v>86</v>
      </c>
      <c r="T723">
        <v>91</v>
      </c>
      <c r="U723">
        <f t="shared" si="46"/>
        <v>-7.1881083489802</v>
      </c>
      <c r="V723">
        <f t="shared" si="47"/>
        <v>-864.578824751046</v>
      </c>
      <c r="W723">
        <f t="shared" si="48"/>
        <v>-7188.1083489802</v>
      </c>
      <c r="X723">
        <f t="shared" si="45"/>
        <v>-3.05504885071041</v>
      </c>
      <c r="Y723">
        <v>10</v>
      </c>
    </row>
    <row r="724" spans="1:25">
      <c r="A724" s="1">
        <v>803</v>
      </c>
      <c r="B724" t="s">
        <v>1139</v>
      </c>
      <c r="C724" t="s">
        <v>1171</v>
      </c>
      <c r="D724" t="s">
        <v>1169</v>
      </c>
      <c r="E724" t="s">
        <v>1168</v>
      </c>
      <c r="F724" t="s">
        <v>292</v>
      </c>
      <c r="G724">
        <v>10</v>
      </c>
      <c r="H724">
        <v>4</v>
      </c>
      <c r="I724">
        <v>31</v>
      </c>
      <c r="J724">
        <v>57</v>
      </c>
      <c r="K724">
        <v>10</v>
      </c>
      <c r="L724">
        <v>17</v>
      </c>
      <c r="M724">
        <v>48</v>
      </c>
      <c r="N724" t="s">
        <v>394</v>
      </c>
      <c r="O724" t="s">
        <v>1143</v>
      </c>
      <c r="P724" t="s">
        <v>228</v>
      </c>
      <c r="Q724" t="s">
        <v>295</v>
      </c>
      <c r="R724" t="s">
        <v>1144</v>
      </c>
      <c r="S724">
        <v>87</v>
      </c>
      <c r="T724">
        <v>91</v>
      </c>
      <c r="U724">
        <f t="shared" si="46"/>
        <v>-7.1881083489802</v>
      </c>
      <c r="V724">
        <f t="shared" si="47"/>
        <v>-864.578824751046</v>
      </c>
      <c r="W724">
        <f t="shared" si="48"/>
        <v>-7188.1083489802</v>
      </c>
      <c r="X724">
        <f t="shared" si="45"/>
        <v>-3.05504885071041</v>
      </c>
      <c r="Y724">
        <v>10</v>
      </c>
    </row>
    <row r="725" spans="1:25">
      <c r="A725" s="1">
        <v>804</v>
      </c>
      <c r="B725" t="s">
        <v>1139</v>
      </c>
      <c r="C725" t="s">
        <v>1172</v>
      </c>
      <c r="D725" t="s">
        <v>1169</v>
      </c>
      <c r="E725" t="s">
        <v>1173</v>
      </c>
      <c r="F725" t="s">
        <v>292</v>
      </c>
      <c r="G725">
        <v>10</v>
      </c>
      <c r="H725">
        <v>4</v>
      </c>
      <c r="I725">
        <v>31</v>
      </c>
      <c r="J725">
        <v>57</v>
      </c>
      <c r="K725">
        <v>10</v>
      </c>
      <c r="L725">
        <v>17</v>
      </c>
      <c r="M725">
        <v>48</v>
      </c>
      <c r="N725" t="s">
        <v>394</v>
      </c>
      <c r="O725" t="s">
        <v>1143</v>
      </c>
      <c r="P725" t="s">
        <v>228</v>
      </c>
      <c r="Q725" t="s">
        <v>295</v>
      </c>
      <c r="R725" t="s">
        <v>1144</v>
      </c>
      <c r="S725">
        <v>83</v>
      </c>
      <c r="T725">
        <v>92</v>
      </c>
      <c r="U725">
        <f t="shared" si="46"/>
        <v>-7.47752209138013</v>
      </c>
      <c r="V725">
        <f t="shared" si="47"/>
        <v>-899.389233988469</v>
      </c>
      <c r="W725">
        <f t="shared" si="48"/>
        <v>-7477.52209138013</v>
      </c>
      <c r="X725">
        <f t="shared" si="45"/>
        <v>-3.17805383034795</v>
      </c>
      <c r="Y725">
        <v>10</v>
      </c>
    </row>
    <row r="726" spans="1:25">
      <c r="A726" s="1">
        <v>805</v>
      </c>
      <c r="B726" t="s">
        <v>1139</v>
      </c>
      <c r="C726" t="s">
        <v>1174</v>
      </c>
      <c r="D726" t="s">
        <v>1169</v>
      </c>
      <c r="E726" t="s">
        <v>1175</v>
      </c>
      <c r="F726" t="s">
        <v>292</v>
      </c>
      <c r="G726">
        <v>10</v>
      </c>
      <c r="H726">
        <v>4</v>
      </c>
      <c r="I726">
        <v>31</v>
      </c>
      <c r="J726">
        <v>57</v>
      </c>
      <c r="K726">
        <v>10</v>
      </c>
      <c r="L726">
        <v>17</v>
      </c>
      <c r="M726">
        <v>48</v>
      </c>
      <c r="N726" t="s">
        <v>394</v>
      </c>
      <c r="O726" t="s">
        <v>1143</v>
      </c>
      <c r="P726" t="s">
        <v>228</v>
      </c>
      <c r="Q726" t="s">
        <v>295</v>
      </c>
      <c r="R726" t="s">
        <v>1144</v>
      </c>
      <c r="S726">
        <v>73</v>
      </c>
      <c r="T726">
        <v>93</v>
      </c>
      <c r="U726">
        <f t="shared" si="46"/>
        <v>-7.80392571812055</v>
      </c>
      <c r="V726">
        <f t="shared" si="47"/>
        <v>-938.648751277429</v>
      </c>
      <c r="W726">
        <f t="shared" si="48"/>
        <v>-7803.92571812055</v>
      </c>
      <c r="X726">
        <f t="shared" si="45"/>
        <v>-3.31678003984957</v>
      </c>
      <c r="Y726">
        <v>10</v>
      </c>
    </row>
    <row r="727" spans="1:25">
      <c r="A727" s="1">
        <v>806</v>
      </c>
      <c r="B727" t="s">
        <v>1139</v>
      </c>
      <c r="C727" t="s">
        <v>1176</v>
      </c>
      <c r="D727" t="s">
        <v>1169</v>
      </c>
      <c r="E727" t="s">
        <v>1177</v>
      </c>
      <c r="F727" t="s">
        <v>292</v>
      </c>
      <c r="G727">
        <v>10</v>
      </c>
      <c r="H727">
        <v>4</v>
      </c>
      <c r="I727">
        <v>31</v>
      </c>
      <c r="J727">
        <v>57</v>
      </c>
      <c r="K727">
        <v>10</v>
      </c>
      <c r="L727">
        <v>17</v>
      </c>
      <c r="M727">
        <v>48</v>
      </c>
      <c r="N727" t="s">
        <v>394</v>
      </c>
      <c r="O727" t="s">
        <v>1143</v>
      </c>
      <c r="P727" t="s">
        <v>228</v>
      </c>
      <c r="Q727" t="s">
        <v>295</v>
      </c>
      <c r="R727" t="s">
        <v>1144</v>
      </c>
      <c r="S727">
        <v>54</v>
      </c>
      <c r="T727">
        <v>95</v>
      </c>
      <c r="U727">
        <f t="shared" si="46"/>
        <v>-8.61985498183589</v>
      </c>
      <c r="V727">
        <f t="shared" si="47"/>
        <v>-1036.78794585469</v>
      </c>
      <c r="W727">
        <f t="shared" si="48"/>
        <v>-8619.85498183589</v>
      </c>
      <c r="X727">
        <f t="shared" si="45"/>
        <v>-3.66356164612965</v>
      </c>
      <c r="Y727">
        <v>10</v>
      </c>
    </row>
    <row r="728" spans="1:25">
      <c r="A728" s="1">
        <v>807</v>
      </c>
      <c r="B728" t="s">
        <v>1139</v>
      </c>
      <c r="C728" t="s">
        <v>1178</v>
      </c>
      <c r="D728" t="s">
        <v>1169</v>
      </c>
      <c r="E728" t="s">
        <v>628</v>
      </c>
      <c r="F728" t="s">
        <v>292</v>
      </c>
      <c r="G728">
        <v>10</v>
      </c>
      <c r="H728">
        <v>4</v>
      </c>
      <c r="I728">
        <v>31</v>
      </c>
      <c r="J728">
        <v>57</v>
      </c>
      <c r="K728">
        <v>10</v>
      </c>
      <c r="L728">
        <v>17</v>
      </c>
      <c r="M728">
        <v>48</v>
      </c>
      <c r="N728" t="s">
        <v>394</v>
      </c>
      <c r="O728" t="s">
        <v>1143</v>
      </c>
      <c r="P728" t="s">
        <v>228</v>
      </c>
      <c r="Q728" t="s">
        <v>295</v>
      </c>
      <c r="R728" t="s">
        <v>1144</v>
      </c>
      <c r="S728">
        <v>62</v>
      </c>
      <c r="T728">
        <v>92</v>
      </c>
      <c r="U728">
        <f t="shared" si="46"/>
        <v>-7.47752209138013</v>
      </c>
      <c r="V728">
        <f t="shared" si="47"/>
        <v>-899.389233988469</v>
      </c>
      <c r="W728">
        <f t="shared" si="48"/>
        <v>-7477.52209138013</v>
      </c>
      <c r="X728">
        <f t="shared" si="45"/>
        <v>-3.17805383034795</v>
      </c>
      <c r="Y728">
        <v>10</v>
      </c>
    </row>
    <row r="729" spans="1:25">
      <c r="A729" s="1">
        <v>808</v>
      </c>
      <c r="B729" t="s">
        <v>1139</v>
      </c>
      <c r="C729" t="s">
        <v>1179</v>
      </c>
      <c r="D729" t="s">
        <v>1169</v>
      </c>
      <c r="E729" t="s">
        <v>308</v>
      </c>
      <c r="F729" t="s">
        <v>292</v>
      </c>
      <c r="G729">
        <v>10</v>
      </c>
      <c r="H729">
        <v>4</v>
      </c>
      <c r="I729">
        <v>31</v>
      </c>
      <c r="J729">
        <v>57</v>
      </c>
      <c r="K729">
        <v>10</v>
      </c>
      <c r="L729">
        <v>17</v>
      </c>
      <c r="M729">
        <v>48</v>
      </c>
      <c r="N729" t="s">
        <v>394</v>
      </c>
      <c r="O729" t="s">
        <v>1143</v>
      </c>
      <c r="P729" t="s">
        <v>228</v>
      </c>
      <c r="Q729" t="s">
        <v>295</v>
      </c>
      <c r="R729" t="s">
        <v>1144</v>
      </c>
      <c r="S729">
        <v>53</v>
      </c>
      <c r="T729">
        <v>86</v>
      </c>
      <c r="U729">
        <f t="shared" si="46"/>
        <v>-6.08612306353297</v>
      </c>
      <c r="V729">
        <f t="shared" si="47"/>
        <v>-732.033084379718</v>
      </c>
      <c r="W729">
        <f t="shared" si="48"/>
        <v>-6086.12306353297</v>
      </c>
      <c r="X729">
        <f t="shared" si="45"/>
        <v>-2.58668934409794</v>
      </c>
      <c r="Y729">
        <v>10</v>
      </c>
    </row>
    <row r="730" spans="1:25">
      <c r="A730" s="1">
        <v>809</v>
      </c>
      <c r="B730" t="s">
        <v>1139</v>
      </c>
      <c r="C730" t="s">
        <v>1180</v>
      </c>
      <c r="D730" t="s">
        <v>1169</v>
      </c>
      <c r="E730" t="s">
        <v>624</v>
      </c>
      <c r="F730" t="s">
        <v>292</v>
      </c>
      <c r="G730">
        <v>10</v>
      </c>
      <c r="H730">
        <v>4</v>
      </c>
      <c r="I730">
        <v>31</v>
      </c>
      <c r="J730">
        <v>57</v>
      </c>
      <c r="K730">
        <v>10</v>
      </c>
      <c r="L730">
        <v>17</v>
      </c>
      <c r="M730">
        <v>48</v>
      </c>
      <c r="N730" t="s">
        <v>394</v>
      </c>
      <c r="O730" t="s">
        <v>1143</v>
      </c>
      <c r="P730" t="s">
        <v>228</v>
      </c>
      <c r="Q730" t="s">
        <v>295</v>
      </c>
      <c r="R730" t="s">
        <v>1144</v>
      </c>
      <c r="S730">
        <v>44</v>
      </c>
      <c r="T730">
        <v>89</v>
      </c>
      <c r="U730">
        <f t="shared" si="46"/>
        <v>-6.69119069800034</v>
      </c>
      <c r="V730">
        <f t="shared" si="47"/>
        <v>-804.81004305994</v>
      </c>
      <c r="W730">
        <f t="shared" si="48"/>
        <v>-6691.19069800034</v>
      </c>
      <c r="X730">
        <f t="shared" si="45"/>
        <v>-2.84385174226127</v>
      </c>
      <c r="Y730">
        <v>10</v>
      </c>
    </row>
    <row r="731" spans="1:25">
      <c r="A731" s="1">
        <v>810</v>
      </c>
      <c r="B731" t="s">
        <v>1139</v>
      </c>
      <c r="C731" t="s">
        <v>1181</v>
      </c>
      <c r="D731" t="s">
        <v>1169</v>
      </c>
      <c r="E731" t="s">
        <v>1182</v>
      </c>
      <c r="F731" t="s">
        <v>292</v>
      </c>
      <c r="G731">
        <v>10</v>
      </c>
      <c r="H731">
        <v>4</v>
      </c>
      <c r="I731">
        <v>31</v>
      </c>
      <c r="J731">
        <v>57</v>
      </c>
      <c r="K731">
        <v>10</v>
      </c>
      <c r="L731">
        <v>17</v>
      </c>
      <c r="M731">
        <v>48</v>
      </c>
      <c r="N731" t="s">
        <v>394</v>
      </c>
      <c r="O731" t="s">
        <v>1143</v>
      </c>
      <c r="P731" t="s">
        <v>228</v>
      </c>
      <c r="Q731" t="s">
        <v>295</v>
      </c>
      <c r="R731" t="s">
        <v>1144</v>
      </c>
      <c r="S731">
        <v>44</v>
      </c>
      <c r="T731">
        <v>93</v>
      </c>
      <c r="U731">
        <f t="shared" si="46"/>
        <v>-7.80392571812055</v>
      </c>
      <c r="V731">
        <f t="shared" si="47"/>
        <v>-938.648751277429</v>
      </c>
      <c r="W731">
        <f t="shared" si="48"/>
        <v>-7803.92571812055</v>
      </c>
      <c r="X731">
        <f t="shared" si="45"/>
        <v>-3.31678003984957</v>
      </c>
      <c r="Y731">
        <v>10</v>
      </c>
    </row>
    <row r="732" spans="1:25">
      <c r="A732" s="1">
        <v>811</v>
      </c>
      <c r="B732" t="s">
        <v>1139</v>
      </c>
      <c r="C732" t="s">
        <v>1183</v>
      </c>
      <c r="D732" t="s">
        <v>1169</v>
      </c>
      <c r="E732" t="s">
        <v>1184</v>
      </c>
      <c r="F732" t="s">
        <v>292</v>
      </c>
      <c r="G732">
        <v>10</v>
      </c>
      <c r="H732">
        <v>4</v>
      </c>
      <c r="I732">
        <v>31</v>
      </c>
      <c r="J732">
        <v>57</v>
      </c>
      <c r="K732">
        <v>10</v>
      </c>
      <c r="L732">
        <v>17</v>
      </c>
      <c r="M732">
        <v>48</v>
      </c>
      <c r="N732" t="s">
        <v>394</v>
      </c>
      <c r="O732" t="s">
        <v>1143</v>
      </c>
      <c r="P732" t="s">
        <v>228</v>
      </c>
      <c r="Q732" t="s">
        <v>295</v>
      </c>
      <c r="R732" t="s">
        <v>1144</v>
      </c>
      <c r="S732">
        <v>41</v>
      </c>
      <c r="T732">
        <v>92</v>
      </c>
      <c r="U732">
        <f t="shared" si="46"/>
        <v>-7.47752209138013</v>
      </c>
      <c r="V732">
        <f t="shared" si="47"/>
        <v>-899.389233988469</v>
      </c>
      <c r="W732">
        <f t="shared" si="48"/>
        <v>-7477.52209138013</v>
      </c>
      <c r="X732">
        <f t="shared" si="45"/>
        <v>-3.17805383034795</v>
      </c>
      <c r="Y732">
        <v>10</v>
      </c>
    </row>
    <row r="733" spans="1:25">
      <c r="A733" s="1">
        <v>812</v>
      </c>
      <c r="B733" t="s">
        <v>1185</v>
      </c>
      <c r="C733" t="s">
        <v>1186</v>
      </c>
      <c r="D733" t="s">
        <v>1187</v>
      </c>
      <c r="E733" t="s">
        <v>1188</v>
      </c>
      <c r="F733" t="s">
        <v>299</v>
      </c>
      <c r="G733">
        <v>20</v>
      </c>
      <c r="H733">
        <v>8</v>
      </c>
      <c r="I733">
        <v>63</v>
      </c>
      <c r="J733">
        <v>57</v>
      </c>
      <c r="K733">
        <v>10</v>
      </c>
      <c r="L733">
        <v>17</v>
      </c>
      <c r="M733">
        <v>24</v>
      </c>
      <c r="N733" t="s">
        <v>196</v>
      </c>
      <c r="O733" t="s">
        <v>1143</v>
      </c>
      <c r="P733" t="s">
        <v>228</v>
      </c>
      <c r="Q733" t="s">
        <v>295</v>
      </c>
      <c r="R733" t="s">
        <v>1189</v>
      </c>
      <c r="S733">
        <v>80</v>
      </c>
      <c r="T733">
        <v>91</v>
      </c>
      <c r="U733">
        <f t="shared" si="46"/>
        <v>-7.44210511042826</v>
      </c>
      <c r="V733">
        <f t="shared" si="47"/>
        <v>-895.12931325815</v>
      </c>
      <c r="W733">
        <f t="shared" si="48"/>
        <v>-7442.10511042826</v>
      </c>
      <c r="X733">
        <f t="shared" si="45"/>
        <v>-3.05504885071041</v>
      </c>
      <c r="Y733">
        <v>20</v>
      </c>
    </row>
    <row r="734" spans="1:25">
      <c r="A734" s="1">
        <v>813</v>
      </c>
      <c r="B734" t="s">
        <v>1185</v>
      </c>
      <c r="C734" t="s">
        <v>1186</v>
      </c>
      <c r="D734" t="s">
        <v>1187</v>
      </c>
      <c r="E734" t="s">
        <v>1188</v>
      </c>
      <c r="F734" t="s">
        <v>299</v>
      </c>
      <c r="G734">
        <v>20</v>
      </c>
      <c r="H734">
        <v>8</v>
      </c>
      <c r="I734">
        <v>63</v>
      </c>
      <c r="J734">
        <v>28</v>
      </c>
      <c r="K734">
        <v>10</v>
      </c>
      <c r="L734">
        <v>17</v>
      </c>
      <c r="M734">
        <v>24</v>
      </c>
      <c r="N734" t="s">
        <v>196</v>
      </c>
      <c r="O734" t="s">
        <v>394</v>
      </c>
      <c r="P734" t="s">
        <v>228</v>
      </c>
      <c r="Q734" t="s">
        <v>295</v>
      </c>
      <c r="R734" t="s">
        <v>1189</v>
      </c>
      <c r="S734">
        <v>76</v>
      </c>
      <c r="T734">
        <v>92</v>
      </c>
      <c r="U734">
        <f t="shared" si="46"/>
        <v>-7.74174548683526</v>
      </c>
      <c r="V734">
        <f t="shared" si="47"/>
        <v>-931.169772291948</v>
      </c>
      <c r="W734">
        <f t="shared" si="48"/>
        <v>-7741.74548683526</v>
      </c>
      <c r="X734">
        <f t="shared" si="45"/>
        <v>-3.17805383034795</v>
      </c>
      <c r="Y734">
        <v>20</v>
      </c>
    </row>
    <row r="735" spans="1:25">
      <c r="A735" s="1">
        <v>814</v>
      </c>
      <c r="B735" t="s">
        <v>1185</v>
      </c>
      <c r="C735" t="s">
        <v>1186</v>
      </c>
      <c r="D735" t="s">
        <v>1187</v>
      </c>
      <c r="E735" t="s">
        <v>1188</v>
      </c>
      <c r="F735" t="s">
        <v>299</v>
      </c>
      <c r="G735">
        <v>20</v>
      </c>
      <c r="H735">
        <v>8</v>
      </c>
      <c r="I735">
        <v>63</v>
      </c>
      <c r="J735">
        <v>38</v>
      </c>
      <c r="K735">
        <v>10</v>
      </c>
      <c r="L735">
        <v>17</v>
      </c>
      <c r="M735">
        <v>24</v>
      </c>
      <c r="N735" t="s">
        <v>196</v>
      </c>
      <c r="O735" t="s">
        <v>1190</v>
      </c>
      <c r="P735" t="s">
        <v>228</v>
      </c>
      <c r="Q735" t="s">
        <v>295</v>
      </c>
      <c r="R735" t="s">
        <v>1189</v>
      </c>
      <c r="S735">
        <v>76</v>
      </c>
      <c r="T735">
        <v>91</v>
      </c>
      <c r="U735">
        <f t="shared" si="46"/>
        <v>-7.44210511042826</v>
      </c>
      <c r="V735">
        <f t="shared" si="47"/>
        <v>-895.12931325815</v>
      </c>
      <c r="W735">
        <f t="shared" si="48"/>
        <v>-7442.10511042826</v>
      </c>
      <c r="X735">
        <f t="shared" si="45"/>
        <v>-3.05504885071041</v>
      </c>
      <c r="Y735">
        <v>20</v>
      </c>
    </row>
    <row r="736" spans="1:25">
      <c r="A736" s="1">
        <v>815</v>
      </c>
      <c r="B736" t="s">
        <v>1185</v>
      </c>
      <c r="C736" t="s">
        <v>1186</v>
      </c>
      <c r="D736" t="s">
        <v>1187</v>
      </c>
      <c r="E736" t="s">
        <v>1188</v>
      </c>
      <c r="F736" t="s">
        <v>299</v>
      </c>
      <c r="G736">
        <v>20</v>
      </c>
      <c r="H736">
        <v>8</v>
      </c>
      <c r="I736">
        <v>63</v>
      </c>
      <c r="J736">
        <v>45</v>
      </c>
      <c r="K736">
        <v>10</v>
      </c>
      <c r="L736">
        <v>17</v>
      </c>
      <c r="M736">
        <v>24</v>
      </c>
      <c r="N736" t="s">
        <v>196</v>
      </c>
      <c r="O736" t="s">
        <v>30</v>
      </c>
      <c r="P736" t="s">
        <v>228</v>
      </c>
      <c r="Q736" t="s">
        <v>295</v>
      </c>
      <c r="R736" t="s">
        <v>1189</v>
      </c>
      <c r="S736">
        <v>73</v>
      </c>
      <c r="T736">
        <v>88</v>
      </c>
      <c r="U736">
        <f t="shared" si="46"/>
        <v>-6.70274552564081</v>
      </c>
      <c r="V736">
        <f t="shared" si="47"/>
        <v>-806.199846721291</v>
      </c>
      <c r="W736">
        <f t="shared" si="48"/>
        <v>-6702.74552564081</v>
      </c>
      <c r="X736">
        <f t="shared" si="45"/>
        <v>-2.75153531304195</v>
      </c>
      <c r="Y736">
        <v>20</v>
      </c>
    </row>
    <row r="737" spans="1:25">
      <c r="A737" s="1">
        <v>816</v>
      </c>
      <c r="B737" t="s">
        <v>1185</v>
      </c>
      <c r="C737" t="s">
        <v>1186</v>
      </c>
      <c r="D737" t="s">
        <v>1187</v>
      </c>
      <c r="E737" t="s">
        <v>1188</v>
      </c>
      <c r="F737" t="s">
        <v>299</v>
      </c>
      <c r="G737">
        <v>20</v>
      </c>
      <c r="H737">
        <v>8</v>
      </c>
      <c r="I737">
        <v>63</v>
      </c>
      <c r="J737">
        <v>65</v>
      </c>
      <c r="K737">
        <v>10</v>
      </c>
      <c r="L737">
        <v>17</v>
      </c>
      <c r="M737">
        <v>24</v>
      </c>
      <c r="N737" t="s">
        <v>196</v>
      </c>
      <c r="O737" t="s">
        <v>1191</v>
      </c>
      <c r="P737" t="s">
        <v>228</v>
      </c>
      <c r="Q737" t="s">
        <v>295</v>
      </c>
      <c r="R737" t="s">
        <v>1189</v>
      </c>
      <c r="S737">
        <v>17</v>
      </c>
      <c r="T737">
        <v>77</v>
      </c>
      <c r="U737">
        <f t="shared" si="46"/>
        <v>-4.97104091985747</v>
      </c>
      <c r="V737">
        <f t="shared" si="47"/>
        <v>-597.912066376891</v>
      </c>
      <c r="W737">
        <f t="shared" si="48"/>
        <v>-4971.04091985747</v>
      </c>
      <c r="X737">
        <f t="shared" si="45"/>
        <v>-2.04065551664468</v>
      </c>
      <c r="Y737">
        <v>20</v>
      </c>
    </row>
    <row r="738" spans="1:25">
      <c r="A738" s="1">
        <v>817</v>
      </c>
      <c r="B738" t="s">
        <v>1185</v>
      </c>
      <c r="C738" t="s">
        <v>1186</v>
      </c>
      <c r="D738" t="s">
        <v>1187</v>
      </c>
      <c r="E738" t="s">
        <v>1188</v>
      </c>
      <c r="F738" t="s">
        <v>299</v>
      </c>
      <c r="G738">
        <v>20</v>
      </c>
      <c r="H738">
        <v>8</v>
      </c>
      <c r="I738">
        <v>63</v>
      </c>
      <c r="J738">
        <v>66</v>
      </c>
      <c r="K738">
        <v>10</v>
      </c>
      <c r="L738">
        <v>17</v>
      </c>
      <c r="M738">
        <v>24</v>
      </c>
      <c r="N738" t="s">
        <v>196</v>
      </c>
      <c r="O738" t="s">
        <v>1192</v>
      </c>
      <c r="P738" t="s">
        <v>228</v>
      </c>
      <c r="Q738" t="s">
        <v>295</v>
      </c>
      <c r="R738" t="s">
        <v>1189</v>
      </c>
      <c r="S738">
        <v>19</v>
      </c>
      <c r="T738">
        <v>87</v>
      </c>
      <c r="U738">
        <f t="shared" si="46"/>
        <v>-6.49476928819999</v>
      </c>
      <c r="V738">
        <f t="shared" si="47"/>
        <v>-781.184663002164</v>
      </c>
      <c r="W738">
        <f t="shared" si="48"/>
        <v>-6494.76928819999</v>
      </c>
      <c r="X738">
        <f t="shared" si="45"/>
        <v>-2.66615925939305</v>
      </c>
      <c r="Y738">
        <v>20</v>
      </c>
    </row>
    <row r="739" spans="1:25">
      <c r="A739" s="1">
        <v>818</v>
      </c>
      <c r="B739" t="s">
        <v>1193</v>
      </c>
      <c r="C739" t="s">
        <v>1186</v>
      </c>
      <c r="D739" t="s">
        <v>1187</v>
      </c>
      <c r="E739" t="s">
        <v>1188</v>
      </c>
      <c r="F739" t="s">
        <v>299</v>
      </c>
      <c r="G739">
        <v>20</v>
      </c>
      <c r="H739">
        <v>8</v>
      </c>
      <c r="I739">
        <v>63</v>
      </c>
      <c r="J739">
        <v>57</v>
      </c>
      <c r="K739">
        <v>10</v>
      </c>
      <c r="L739">
        <v>17</v>
      </c>
      <c r="M739">
        <v>24</v>
      </c>
      <c r="N739" t="s">
        <v>196</v>
      </c>
      <c r="O739" t="s">
        <v>1143</v>
      </c>
      <c r="P739" t="s">
        <v>228</v>
      </c>
      <c r="Q739" t="s">
        <v>295</v>
      </c>
      <c r="R739" t="s">
        <v>1189</v>
      </c>
      <c r="S739">
        <v>9</v>
      </c>
      <c r="T739">
        <v>42</v>
      </c>
      <c r="U739">
        <f t="shared" si="46"/>
        <v>-2.18115732939369</v>
      </c>
      <c r="V739">
        <f t="shared" si="47"/>
        <v>-262.347525787068</v>
      </c>
      <c r="W739">
        <f t="shared" si="48"/>
        <v>-2181.15732939369</v>
      </c>
      <c r="X739">
        <f t="shared" si="45"/>
        <v>-0.895384047054841</v>
      </c>
      <c r="Y739">
        <v>20</v>
      </c>
    </row>
    <row r="740" spans="1:25">
      <c r="A740" s="1">
        <v>820</v>
      </c>
      <c r="B740" t="s">
        <v>1194</v>
      </c>
      <c r="C740" t="s">
        <v>1186</v>
      </c>
      <c r="D740" t="s">
        <v>1187</v>
      </c>
      <c r="E740" t="s">
        <v>1188</v>
      </c>
      <c r="F740" t="s">
        <v>299</v>
      </c>
      <c r="G740">
        <v>20</v>
      </c>
      <c r="H740">
        <v>8</v>
      </c>
      <c r="I740">
        <v>63</v>
      </c>
      <c r="J740">
        <v>57</v>
      </c>
      <c r="K740">
        <v>10</v>
      </c>
      <c r="L740">
        <v>17</v>
      </c>
      <c r="M740">
        <v>24</v>
      </c>
      <c r="N740" t="s">
        <v>196</v>
      </c>
      <c r="O740" t="s">
        <v>1143</v>
      </c>
      <c r="P740" t="s">
        <v>228</v>
      </c>
      <c r="Q740" t="s">
        <v>295</v>
      </c>
      <c r="R740" t="s">
        <v>1189</v>
      </c>
      <c r="S740">
        <v>23</v>
      </c>
      <c r="T740">
        <v>35</v>
      </c>
      <c r="U740">
        <f t="shared" si="46"/>
        <v>-1.78044343258526</v>
      </c>
      <c r="V740">
        <f t="shared" si="47"/>
        <v>-214.150040003038</v>
      </c>
      <c r="W740">
        <f t="shared" si="48"/>
        <v>-1780.44343258526</v>
      </c>
      <c r="X740">
        <f t="shared" si="45"/>
        <v>-0.730887508542793</v>
      </c>
      <c r="Y740">
        <v>20</v>
      </c>
    </row>
    <row r="741" spans="1:25">
      <c r="A741" s="1">
        <v>823</v>
      </c>
      <c r="B741" t="s">
        <v>1195</v>
      </c>
      <c r="C741" t="s">
        <v>1186</v>
      </c>
      <c r="D741" t="s">
        <v>1187</v>
      </c>
      <c r="E741" t="s">
        <v>1188</v>
      </c>
      <c r="F741" t="s">
        <v>299</v>
      </c>
      <c r="G741">
        <v>20</v>
      </c>
      <c r="H741">
        <v>8</v>
      </c>
      <c r="I741">
        <v>63</v>
      </c>
      <c r="J741">
        <v>57</v>
      </c>
      <c r="K741">
        <v>10</v>
      </c>
      <c r="L741">
        <v>17</v>
      </c>
      <c r="M741">
        <v>24</v>
      </c>
      <c r="N741" t="s">
        <v>196</v>
      </c>
      <c r="O741" t="s">
        <v>1143</v>
      </c>
      <c r="P741" t="s">
        <v>228</v>
      </c>
      <c r="Q741" t="s">
        <v>295</v>
      </c>
      <c r="R741" t="s">
        <v>1189</v>
      </c>
      <c r="S741">
        <v>11</v>
      </c>
      <c r="T741">
        <v>39</v>
      </c>
      <c r="U741">
        <f t="shared" si="46"/>
        <v>-2.00629141518032</v>
      </c>
      <c r="V741">
        <f t="shared" si="47"/>
        <v>-241.314820204513</v>
      </c>
      <c r="W741">
        <f t="shared" si="48"/>
        <v>-2006.29141518032</v>
      </c>
      <c r="X741">
        <f t="shared" si="45"/>
        <v>-0.823600068957381</v>
      </c>
      <c r="Y741">
        <v>20</v>
      </c>
    </row>
    <row r="742" spans="1:25">
      <c r="A742" s="1">
        <v>824</v>
      </c>
      <c r="B742" t="s">
        <v>1196</v>
      </c>
      <c r="C742" t="s">
        <v>1186</v>
      </c>
      <c r="D742" t="s">
        <v>1187</v>
      </c>
      <c r="E742" t="s">
        <v>1188</v>
      </c>
      <c r="F742" t="s">
        <v>299</v>
      </c>
      <c r="G742">
        <v>20</v>
      </c>
      <c r="H742">
        <v>8</v>
      </c>
      <c r="I742">
        <v>63</v>
      </c>
      <c r="J742">
        <v>57</v>
      </c>
      <c r="K742">
        <v>10</v>
      </c>
      <c r="L742">
        <v>17</v>
      </c>
      <c r="M742">
        <v>24</v>
      </c>
      <c r="N742" t="s">
        <v>196</v>
      </c>
      <c r="O742" t="s">
        <v>1143</v>
      </c>
      <c r="P742" t="s">
        <v>228</v>
      </c>
      <c r="Q742" t="s">
        <v>295</v>
      </c>
      <c r="R742" t="s">
        <v>1189</v>
      </c>
      <c r="S742">
        <v>72</v>
      </c>
      <c r="T742">
        <v>87</v>
      </c>
      <c r="U742">
        <f t="shared" si="46"/>
        <v>-6.49476928819999</v>
      </c>
      <c r="V742">
        <f t="shared" si="47"/>
        <v>-781.184663002164</v>
      </c>
      <c r="W742">
        <f t="shared" si="48"/>
        <v>-6494.76928819999</v>
      </c>
      <c r="X742">
        <f t="shared" si="45"/>
        <v>-2.66615925939305</v>
      </c>
      <c r="Y742">
        <v>20</v>
      </c>
    </row>
    <row r="743" spans="1:25">
      <c r="A743" s="1">
        <v>825</v>
      </c>
      <c r="B743" t="s">
        <v>1197</v>
      </c>
      <c r="C743" t="s">
        <v>1186</v>
      </c>
      <c r="D743" t="s">
        <v>1187</v>
      </c>
      <c r="E743" t="s">
        <v>1188</v>
      </c>
      <c r="F743" t="s">
        <v>299</v>
      </c>
      <c r="G743">
        <v>20</v>
      </c>
      <c r="H743">
        <v>8</v>
      </c>
      <c r="I743">
        <v>63</v>
      </c>
      <c r="J743">
        <v>57</v>
      </c>
      <c r="K743">
        <v>10</v>
      </c>
      <c r="L743">
        <v>17</v>
      </c>
      <c r="M743">
        <v>24</v>
      </c>
      <c r="N743" t="s">
        <v>196</v>
      </c>
      <c r="O743" t="s">
        <v>1143</v>
      </c>
      <c r="P743" t="s">
        <v>228</v>
      </c>
      <c r="Q743" t="s">
        <v>295</v>
      </c>
      <c r="R743" t="s">
        <v>1189</v>
      </c>
      <c r="S743">
        <v>72</v>
      </c>
      <c r="T743">
        <v>92</v>
      </c>
      <c r="U743">
        <f t="shared" si="46"/>
        <v>-7.74174548683526</v>
      </c>
      <c r="V743">
        <f t="shared" si="47"/>
        <v>-931.169772291948</v>
      </c>
      <c r="W743">
        <f t="shared" si="48"/>
        <v>-7741.74548683526</v>
      </c>
      <c r="X743">
        <f t="shared" si="45"/>
        <v>-3.17805383034795</v>
      </c>
      <c r="Y743">
        <v>20</v>
      </c>
    </row>
    <row r="744" spans="1:25">
      <c r="A744" s="1">
        <v>826</v>
      </c>
      <c r="B744" t="s">
        <v>1198</v>
      </c>
      <c r="C744" t="s">
        <v>1186</v>
      </c>
      <c r="D744" t="s">
        <v>1187</v>
      </c>
      <c r="E744" t="s">
        <v>1188</v>
      </c>
      <c r="F744" t="s">
        <v>299</v>
      </c>
      <c r="G744">
        <v>20</v>
      </c>
      <c r="H744">
        <v>8</v>
      </c>
      <c r="I744">
        <v>63</v>
      </c>
      <c r="J744">
        <v>57</v>
      </c>
      <c r="K744">
        <v>10</v>
      </c>
      <c r="L744">
        <v>17</v>
      </c>
      <c r="M744">
        <v>24</v>
      </c>
      <c r="N744" t="s">
        <v>196</v>
      </c>
      <c r="O744" t="s">
        <v>1143</v>
      </c>
      <c r="P744" t="s">
        <v>228</v>
      </c>
      <c r="Q744" t="s">
        <v>295</v>
      </c>
      <c r="R744" t="s">
        <v>1189</v>
      </c>
      <c r="S744">
        <v>77</v>
      </c>
      <c r="T744">
        <v>92</v>
      </c>
      <c r="U744">
        <f t="shared" si="46"/>
        <v>-7.74174548683526</v>
      </c>
      <c r="V744">
        <f t="shared" si="47"/>
        <v>-931.169772291948</v>
      </c>
      <c r="W744">
        <f t="shared" si="48"/>
        <v>-7741.74548683526</v>
      </c>
      <c r="X744">
        <f t="shared" si="45"/>
        <v>-3.17805383034795</v>
      </c>
      <c r="Y744">
        <v>20</v>
      </c>
    </row>
    <row r="745" spans="1:25">
      <c r="A745" s="1">
        <v>827</v>
      </c>
      <c r="B745" t="s">
        <v>1199</v>
      </c>
      <c r="C745" t="s">
        <v>1200</v>
      </c>
      <c r="D745" t="s">
        <v>1187</v>
      </c>
      <c r="E745" t="s">
        <v>1201</v>
      </c>
      <c r="F745" t="s">
        <v>299</v>
      </c>
      <c r="G745">
        <v>20</v>
      </c>
      <c r="H745">
        <v>8</v>
      </c>
      <c r="I745">
        <v>63</v>
      </c>
      <c r="J745">
        <v>57</v>
      </c>
      <c r="K745">
        <v>10</v>
      </c>
      <c r="L745">
        <v>17</v>
      </c>
      <c r="M745">
        <v>24</v>
      </c>
      <c r="N745" t="s">
        <v>196</v>
      </c>
      <c r="O745" t="s">
        <v>1143</v>
      </c>
      <c r="P745" t="s">
        <v>228</v>
      </c>
      <c r="Q745" t="s">
        <v>295</v>
      </c>
      <c r="R745" t="s">
        <v>1189</v>
      </c>
      <c r="S745">
        <v>77</v>
      </c>
      <c r="T745">
        <v>94</v>
      </c>
      <c r="U745">
        <f t="shared" si="46"/>
        <v>-8.46778336063611</v>
      </c>
      <c r="V745">
        <f t="shared" si="47"/>
        <v>-1018.49691612174</v>
      </c>
      <c r="W745">
        <f t="shared" si="48"/>
        <v>-8467.78336063611</v>
      </c>
      <c r="X745">
        <f t="shared" si="45"/>
        <v>-3.47609868983527</v>
      </c>
      <c r="Y745">
        <v>20</v>
      </c>
    </row>
    <row r="746" spans="1:25">
      <c r="A746" s="1">
        <v>828</v>
      </c>
      <c r="B746" t="s">
        <v>1199</v>
      </c>
      <c r="C746" t="s">
        <v>1202</v>
      </c>
      <c r="D746" t="s">
        <v>1187</v>
      </c>
      <c r="E746" t="s">
        <v>1203</v>
      </c>
      <c r="F746" t="s">
        <v>299</v>
      </c>
      <c r="G746">
        <v>20</v>
      </c>
      <c r="H746">
        <v>8</v>
      </c>
      <c r="I746">
        <v>63</v>
      </c>
      <c r="J746">
        <v>57</v>
      </c>
      <c r="K746">
        <v>10</v>
      </c>
      <c r="L746">
        <v>17</v>
      </c>
      <c r="M746">
        <v>24</v>
      </c>
      <c r="N746" t="s">
        <v>196</v>
      </c>
      <c r="O746" t="s">
        <v>1143</v>
      </c>
      <c r="P746" t="s">
        <v>228</v>
      </c>
      <c r="Q746" t="s">
        <v>295</v>
      </c>
      <c r="R746" t="s">
        <v>1189</v>
      </c>
      <c r="S746">
        <v>69</v>
      </c>
      <c r="T746">
        <v>91</v>
      </c>
      <c r="U746">
        <f t="shared" si="46"/>
        <v>-7.44210511042826</v>
      </c>
      <c r="V746">
        <f t="shared" si="47"/>
        <v>-895.12931325815</v>
      </c>
      <c r="W746">
        <f t="shared" si="48"/>
        <v>-7442.10511042826</v>
      </c>
      <c r="X746">
        <f t="shared" si="45"/>
        <v>-3.05504885071041</v>
      </c>
      <c r="Y746">
        <v>20</v>
      </c>
    </row>
    <row r="747" spans="1:25">
      <c r="A747" s="1">
        <v>829</v>
      </c>
      <c r="B747" t="s">
        <v>1199</v>
      </c>
      <c r="C747" t="s">
        <v>1204</v>
      </c>
      <c r="D747" t="s">
        <v>1187</v>
      </c>
      <c r="E747" t="s">
        <v>1205</v>
      </c>
      <c r="F747" t="s">
        <v>299</v>
      </c>
      <c r="G747">
        <v>20</v>
      </c>
      <c r="H747">
        <v>8</v>
      </c>
      <c r="I747">
        <v>63</v>
      </c>
      <c r="J747">
        <v>57</v>
      </c>
      <c r="K747">
        <v>10</v>
      </c>
      <c r="L747">
        <v>17</v>
      </c>
      <c r="M747">
        <v>24</v>
      </c>
      <c r="N747" t="s">
        <v>196</v>
      </c>
      <c r="O747" t="s">
        <v>1143</v>
      </c>
      <c r="P747" t="s">
        <v>228</v>
      </c>
      <c r="Q747" t="s">
        <v>295</v>
      </c>
      <c r="R747" t="s">
        <v>1189</v>
      </c>
      <c r="S747">
        <v>68</v>
      </c>
      <c r="T747">
        <v>91</v>
      </c>
      <c r="U747">
        <f t="shared" si="46"/>
        <v>-7.44210511042826</v>
      </c>
      <c r="V747">
        <f t="shared" si="47"/>
        <v>-895.12931325815</v>
      </c>
      <c r="W747">
        <f t="shared" si="48"/>
        <v>-7442.10511042826</v>
      </c>
      <c r="X747">
        <f t="shared" si="45"/>
        <v>-3.05504885071041</v>
      </c>
      <c r="Y747">
        <v>20</v>
      </c>
    </row>
    <row r="748" spans="1:25">
      <c r="A748" s="1">
        <v>830</v>
      </c>
      <c r="B748" t="s">
        <v>1199</v>
      </c>
      <c r="C748" t="s">
        <v>1206</v>
      </c>
      <c r="D748" t="s">
        <v>1187</v>
      </c>
      <c r="E748" t="s">
        <v>1207</v>
      </c>
      <c r="F748" t="s">
        <v>299</v>
      </c>
      <c r="G748">
        <v>20</v>
      </c>
      <c r="H748">
        <v>8</v>
      </c>
      <c r="I748">
        <v>63</v>
      </c>
      <c r="J748">
        <v>57</v>
      </c>
      <c r="K748">
        <v>10</v>
      </c>
      <c r="L748">
        <v>17</v>
      </c>
      <c r="M748">
        <v>24</v>
      </c>
      <c r="N748" t="s">
        <v>196</v>
      </c>
      <c r="O748" t="s">
        <v>1143</v>
      </c>
      <c r="P748" t="s">
        <v>228</v>
      </c>
      <c r="Q748" t="s">
        <v>295</v>
      </c>
      <c r="R748" t="s">
        <v>1189</v>
      </c>
      <c r="S748">
        <v>65</v>
      </c>
      <c r="T748">
        <v>92</v>
      </c>
      <c r="U748">
        <f t="shared" si="46"/>
        <v>-7.74174548683526</v>
      </c>
      <c r="V748">
        <f t="shared" si="47"/>
        <v>-931.169772291948</v>
      </c>
      <c r="W748">
        <f t="shared" si="48"/>
        <v>-7741.74548683526</v>
      </c>
      <c r="X748">
        <f t="shared" si="45"/>
        <v>-3.17805383034795</v>
      </c>
      <c r="Y748">
        <v>20</v>
      </c>
    </row>
    <row r="749" spans="1:25">
      <c r="A749" s="1">
        <v>831</v>
      </c>
      <c r="B749" t="s">
        <v>1199</v>
      </c>
      <c r="C749" t="s">
        <v>1208</v>
      </c>
      <c r="D749" t="s">
        <v>1187</v>
      </c>
      <c r="E749" t="s">
        <v>1209</v>
      </c>
      <c r="F749" t="s">
        <v>299</v>
      </c>
      <c r="G749">
        <v>20</v>
      </c>
      <c r="H749">
        <v>8</v>
      </c>
      <c r="I749">
        <v>63</v>
      </c>
      <c r="J749">
        <v>57</v>
      </c>
      <c r="K749">
        <v>10</v>
      </c>
      <c r="L749">
        <v>17</v>
      </c>
      <c r="M749">
        <v>24</v>
      </c>
      <c r="N749" t="s">
        <v>196</v>
      </c>
      <c r="O749" t="s">
        <v>1143</v>
      </c>
      <c r="P749" t="s">
        <v>228</v>
      </c>
      <c r="Q749" t="s">
        <v>295</v>
      </c>
      <c r="R749" t="s">
        <v>1189</v>
      </c>
      <c r="S749">
        <v>79</v>
      </c>
      <c r="T749">
        <v>93</v>
      </c>
      <c r="U749">
        <f t="shared" si="46"/>
        <v>-8.07968281063364</v>
      </c>
      <c r="V749">
        <f t="shared" si="47"/>
        <v>-971.816551675925</v>
      </c>
      <c r="W749">
        <f t="shared" si="48"/>
        <v>-8079.68281063364</v>
      </c>
      <c r="X749">
        <f t="shared" si="45"/>
        <v>-3.31678003984957</v>
      </c>
      <c r="Y749">
        <v>20</v>
      </c>
    </row>
    <row r="750" spans="1:25">
      <c r="A750" s="1">
        <v>832</v>
      </c>
      <c r="B750" t="s">
        <v>1199</v>
      </c>
      <c r="C750" t="s">
        <v>1210</v>
      </c>
      <c r="D750" t="s">
        <v>1187</v>
      </c>
      <c r="E750" t="s">
        <v>1211</v>
      </c>
      <c r="F750" t="s">
        <v>299</v>
      </c>
      <c r="G750">
        <v>20</v>
      </c>
      <c r="H750">
        <v>8</v>
      </c>
      <c r="I750">
        <v>63</v>
      </c>
      <c r="J750">
        <v>57</v>
      </c>
      <c r="K750">
        <v>10</v>
      </c>
      <c r="L750">
        <v>17</v>
      </c>
      <c r="M750">
        <v>24</v>
      </c>
      <c r="N750" t="s">
        <v>196</v>
      </c>
      <c r="O750" t="s">
        <v>1143</v>
      </c>
      <c r="P750" t="s">
        <v>228</v>
      </c>
      <c r="Q750" t="s">
        <v>295</v>
      </c>
      <c r="R750" t="s">
        <v>1189</v>
      </c>
      <c r="S750">
        <v>77</v>
      </c>
      <c r="T750">
        <v>95</v>
      </c>
      <c r="U750">
        <f t="shared" si="46"/>
        <v>-8.92444349709512</v>
      </c>
      <c r="V750">
        <f t="shared" si="47"/>
        <v>-1073.42356231599</v>
      </c>
      <c r="W750">
        <f t="shared" si="48"/>
        <v>-8924.44349709512</v>
      </c>
      <c r="X750">
        <f t="shared" si="45"/>
        <v>-3.66356164612965</v>
      </c>
      <c r="Y750">
        <v>20</v>
      </c>
    </row>
    <row r="751" spans="1:25">
      <c r="A751" s="1">
        <v>833</v>
      </c>
      <c r="B751" t="s">
        <v>1199</v>
      </c>
      <c r="C751" t="s">
        <v>1212</v>
      </c>
      <c r="D751" t="s">
        <v>1187</v>
      </c>
      <c r="E751" t="s">
        <v>1213</v>
      </c>
      <c r="F751" t="s">
        <v>299</v>
      </c>
      <c r="G751">
        <v>20</v>
      </c>
      <c r="H751">
        <v>8</v>
      </c>
      <c r="I751">
        <v>63</v>
      </c>
      <c r="J751">
        <v>57</v>
      </c>
      <c r="K751">
        <v>10</v>
      </c>
      <c r="L751">
        <v>17</v>
      </c>
      <c r="M751">
        <v>24</v>
      </c>
      <c r="N751" t="s">
        <v>196</v>
      </c>
      <c r="O751" t="s">
        <v>1143</v>
      </c>
      <c r="P751" t="s">
        <v>228</v>
      </c>
      <c r="Q751" t="s">
        <v>295</v>
      </c>
      <c r="R751" t="s">
        <v>1189</v>
      </c>
      <c r="S751">
        <v>73</v>
      </c>
      <c r="T751">
        <v>93</v>
      </c>
      <c r="U751">
        <f t="shared" si="46"/>
        <v>-8.07968281063364</v>
      </c>
      <c r="V751">
        <f t="shared" si="47"/>
        <v>-971.816551675925</v>
      </c>
      <c r="W751">
        <f t="shared" si="48"/>
        <v>-8079.68281063364</v>
      </c>
      <c r="X751">
        <f t="shared" ref="X751:X808" si="49">-LN((1+T751*0.01)/(1-T751*0.01))</f>
        <v>-3.31678003984957</v>
      </c>
      <c r="Y751">
        <v>20</v>
      </c>
    </row>
    <row r="752" spans="1:25">
      <c r="A752" s="1">
        <v>834</v>
      </c>
      <c r="B752" t="s">
        <v>1199</v>
      </c>
      <c r="C752" t="s">
        <v>1214</v>
      </c>
      <c r="D752" t="s">
        <v>1187</v>
      </c>
      <c r="E752" t="s">
        <v>1215</v>
      </c>
      <c r="F752" t="s">
        <v>299</v>
      </c>
      <c r="G752">
        <v>20</v>
      </c>
      <c r="H752">
        <v>8</v>
      </c>
      <c r="I752">
        <v>63</v>
      </c>
      <c r="J752">
        <v>57</v>
      </c>
      <c r="K752">
        <v>10</v>
      </c>
      <c r="L752">
        <v>17</v>
      </c>
      <c r="M752">
        <v>24</v>
      </c>
      <c r="N752" t="s">
        <v>196</v>
      </c>
      <c r="O752" t="s">
        <v>1143</v>
      </c>
      <c r="P752" t="s">
        <v>228</v>
      </c>
      <c r="Q752" t="s">
        <v>295</v>
      </c>
      <c r="R752" t="s">
        <v>1189</v>
      </c>
      <c r="S752">
        <v>77</v>
      </c>
      <c r="T752">
        <v>92</v>
      </c>
      <c r="U752">
        <f t="shared" si="46"/>
        <v>-7.74174548683526</v>
      </c>
      <c r="V752">
        <f t="shared" si="47"/>
        <v>-931.169772291948</v>
      </c>
      <c r="W752">
        <f t="shared" si="48"/>
        <v>-7741.74548683526</v>
      </c>
      <c r="X752">
        <f t="shared" si="49"/>
        <v>-3.17805383034795</v>
      </c>
      <c r="Y752">
        <v>20</v>
      </c>
    </row>
    <row r="753" spans="1:25">
      <c r="A753" s="1">
        <v>835</v>
      </c>
      <c r="B753" t="s">
        <v>1199</v>
      </c>
      <c r="C753" t="s">
        <v>1216</v>
      </c>
      <c r="D753" t="s">
        <v>1187</v>
      </c>
      <c r="E753" t="s">
        <v>1217</v>
      </c>
      <c r="F753" t="s">
        <v>299</v>
      </c>
      <c r="G753">
        <v>20</v>
      </c>
      <c r="H753">
        <v>8</v>
      </c>
      <c r="I753">
        <v>63</v>
      </c>
      <c r="J753">
        <v>57</v>
      </c>
      <c r="K753">
        <v>10</v>
      </c>
      <c r="L753">
        <v>17</v>
      </c>
      <c r="M753">
        <v>24</v>
      </c>
      <c r="N753" t="s">
        <v>196</v>
      </c>
      <c r="O753" t="s">
        <v>1143</v>
      </c>
      <c r="P753" t="s">
        <v>228</v>
      </c>
      <c r="Q753" t="s">
        <v>295</v>
      </c>
      <c r="R753" t="s">
        <v>1189</v>
      </c>
      <c r="S753">
        <v>74</v>
      </c>
      <c r="T753">
        <v>93</v>
      </c>
      <c r="U753">
        <f t="shared" si="46"/>
        <v>-8.07968281063364</v>
      </c>
      <c r="V753">
        <f t="shared" si="47"/>
        <v>-971.816551675925</v>
      </c>
      <c r="W753">
        <f t="shared" si="48"/>
        <v>-8079.68281063364</v>
      </c>
      <c r="X753">
        <f t="shared" si="49"/>
        <v>-3.31678003984957</v>
      </c>
      <c r="Y753">
        <v>20</v>
      </c>
    </row>
    <row r="754" spans="1:25">
      <c r="A754" s="1">
        <v>836</v>
      </c>
      <c r="B754" t="s">
        <v>1199</v>
      </c>
      <c r="C754" t="s">
        <v>1218</v>
      </c>
      <c r="D754" t="s">
        <v>1187</v>
      </c>
      <c r="E754" t="s">
        <v>1219</v>
      </c>
      <c r="F754" t="s">
        <v>299</v>
      </c>
      <c r="G754">
        <v>20</v>
      </c>
      <c r="H754">
        <v>8</v>
      </c>
      <c r="I754">
        <v>63</v>
      </c>
      <c r="J754">
        <v>57</v>
      </c>
      <c r="K754">
        <v>10</v>
      </c>
      <c r="L754">
        <v>17</v>
      </c>
      <c r="M754">
        <v>24</v>
      </c>
      <c r="N754" t="s">
        <v>196</v>
      </c>
      <c r="O754" t="s">
        <v>1143</v>
      </c>
      <c r="P754" t="s">
        <v>228</v>
      </c>
      <c r="Q754" t="s">
        <v>295</v>
      </c>
      <c r="R754" t="s">
        <v>1189</v>
      </c>
      <c r="S754">
        <v>42</v>
      </c>
      <c r="T754">
        <v>93</v>
      </c>
      <c r="U754">
        <f t="shared" si="46"/>
        <v>-8.07968281063364</v>
      </c>
      <c r="V754">
        <f t="shared" si="47"/>
        <v>-971.816551675925</v>
      </c>
      <c r="W754">
        <f t="shared" si="48"/>
        <v>-8079.68281063364</v>
      </c>
      <c r="X754">
        <f t="shared" si="49"/>
        <v>-3.31678003984957</v>
      </c>
      <c r="Y754">
        <v>20</v>
      </c>
    </row>
    <row r="755" spans="1:25">
      <c r="A755" s="1">
        <v>837</v>
      </c>
      <c r="B755" t="s">
        <v>1199</v>
      </c>
      <c r="C755" t="s">
        <v>1220</v>
      </c>
      <c r="D755" t="s">
        <v>1187</v>
      </c>
      <c r="E755" t="s">
        <v>1221</v>
      </c>
      <c r="F755" t="s">
        <v>299</v>
      </c>
      <c r="G755">
        <v>20</v>
      </c>
      <c r="H755">
        <v>8</v>
      </c>
      <c r="I755">
        <v>63</v>
      </c>
      <c r="J755">
        <v>57</v>
      </c>
      <c r="K755">
        <v>10</v>
      </c>
      <c r="L755">
        <v>17</v>
      </c>
      <c r="M755">
        <v>24</v>
      </c>
      <c r="N755" t="s">
        <v>196</v>
      </c>
      <c r="O755" t="s">
        <v>1143</v>
      </c>
      <c r="P755" t="s">
        <v>228</v>
      </c>
      <c r="Q755" t="s">
        <v>295</v>
      </c>
      <c r="R755" t="s">
        <v>1189</v>
      </c>
      <c r="S755">
        <v>64</v>
      </c>
      <c r="T755">
        <v>92</v>
      </c>
      <c r="U755">
        <f t="shared" si="46"/>
        <v>-7.74174548683526</v>
      </c>
      <c r="V755">
        <f t="shared" si="47"/>
        <v>-931.169772291948</v>
      </c>
      <c r="W755">
        <f t="shared" si="48"/>
        <v>-7741.74548683526</v>
      </c>
      <c r="X755">
        <f t="shared" si="49"/>
        <v>-3.17805383034795</v>
      </c>
      <c r="Y755">
        <v>20</v>
      </c>
    </row>
    <row r="756" spans="1:25">
      <c r="A756" s="1">
        <v>838</v>
      </c>
      <c r="B756" t="s">
        <v>1199</v>
      </c>
      <c r="C756" t="s">
        <v>1222</v>
      </c>
      <c r="D756" t="s">
        <v>1187</v>
      </c>
      <c r="E756" t="s">
        <v>1223</v>
      </c>
      <c r="F756" t="s">
        <v>299</v>
      </c>
      <c r="G756">
        <v>20</v>
      </c>
      <c r="H756">
        <v>8</v>
      </c>
      <c r="I756">
        <v>63</v>
      </c>
      <c r="J756">
        <v>57</v>
      </c>
      <c r="K756">
        <v>10</v>
      </c>
      <c r="L756">
        <v>17</v>
      </c>
      <c r="M756">
        <v>24</v>
      </c>
      <c r="N756" t="s">
        <v>196</v>
      </c>
      <c r="O756" t="s">
        <v>1143</v>
      </c>
      <c r="P756" t="s">
        <v>228</v>
      </c>
      <c r="Q756" t="s">
        <v>295</v>
      </c>
      <c r="R756" t="s">
        <v>1189</v>
      </c>
      <c r="S756">
        <v>54</v>
      </c>
      <c r="T756">
        <v>88</v>
      </c>
      <c r="U756">
        <f t="shared" si="46"/>
        <v>-6.70274552564081</v>
      </c>
      <c r="V756">
        <f t="shared" si="47"/>
        <v>-806.199846721291</v>
      </c>
      <c r="W756">
        <f t="shared" si="48"/>
        <v>-6702.74552564081</v>
      </c>
      <c r="X756">
        <f t="shared" si="49"/>
        <v>-2.75153531304195</v>
      </c>
      <c r="Y756">
        <v>20</v>
      </c>
    </row>
    <row r="757" spans="1:25">
      <c r="A757" s="1">
        <v>839</v>
      </c>
      <c r="B757" t="s">
        <v>1199</v>
      </c>
      <c r="C757" t="s">
        <v>1224</v>
      </c>
      <c r="D757" t="s">
        <v>1187</v>
      </c>
      <c r="E757" t="s">
        <v>1225</v>
      </c>
      <c r="F757" t="s">
        <v>299</v>
      </c>
      <c r="G757">
        <v>20</v>
      </c>
      <c r="H757">
        <v>8</v>
      </c>
      <c r="I757">
        <v>63</v>
      </c>
      <c r="J757">
        <v>57</v>
      </c>
      <c r="K757">
        <v>10</v>
      </c>
      <c r="L757">
        <v>17</v>
      </c>
      <c r="M757">
        <v>24</v>
      </c>
      <c r="N757" t="s">
        <v>196</v>
      </c>
      <c r="O757" t="s">
        <v>1143</v>
      </c>
      <c r="P757" t="s">
        <v>228</v>
      </c>
      <c r="Q757" t="s">
        <v>295</v>
      </c>
      <c r="R757" t="s">
        <v>1189</v>
      </c>
      <c r="S757">
        <v>42</v>
      </c>
      <c r="T757">
        <v>86</v>
      </c>
      <c r="U757">
        <f t="shared" si="46"/>
        <v>-6.30118041560128</v>
      </c>
      <c r="V757">
        <f t="shared" si="47"/>
        <v>-757.899977820697</v>
      </c>
      <c r="W757">
        <f t="shared" si="48"/>
        <v>-6301.18041560128</v>
      </c>
      <c r="X757">
        <f t="shared" si="49"/>
        <v>-2.58668934409794</v>
      </c>
      <c r="Y757">
        <v>20</v>
      </c>
    </row>
    <row r="758" spans="1:25">
      <c r="A758" s="1">
        <v>840</v>
      </c>
      <c r="B758" t="s">
        <v>1199</v>
      </c>
      <c r="C758" t="s">
        <v>1226</v>
      </c>
      <c r="D758" t="s">
        <v>1187</v>
      </c>
      <c r="E758" t="s">
        <v>1227</v>
      </c>
      <c r="F758" t="s">
        <v>299</v>
      </c>
      <c r="G758">
        <v>20</v>
      </c>
      <c r="H758">
        <v>8</v>
      </c>
      <c r="I758">
        <v>63</v>
      </c>
      <c r="J758">
        <v>57</v>
      </c>
      <c r="K758">
        <v>10</v>
      </c>
      <c r="L758">
        <v>17</v>
      </c>
      <c r="M758">
        <v>24</v>
      </c>
      <c r="N758" t="s">
        <v>196</v>
      </c>
      <c r="O758" t="s">
        <v>1143</v>
      </c>
      <c r="P758" t="s">
        <v>228</v>
      </c>
      <c r="Q758" t="s">
        <v>295</v>
      </c>
      <c r="R758" t="s">
        <v>1189</v>
      </c>
      <c r="S758">
        <v>73</v>
      </c>
      <c r="T758">
        <v>94</v>
      </c>
      <c r="U758">
        <f t="shared" si="46"/>
        <v>-8.46778336063611</v>
      </c>
      <c r="V758">
        <f t="shared" si="47"/>
        <v>-1018.49691612174</v>
      </c>
      <c r="W758">
        <f t="shared" si="48"/>
        <v>-8467.78336063611</v>
      </c>
      <c r="X758">
        <f t="shared" si="49"/>
        <v>-3.47609868983527</v>
      </c>
      <c r="Y758">
        <v>20</v>
      </c>
    </row>
    <row r="759" spans="1:25">
      <c r="A759" s="1">
        <v>841</v>
      </c>
      <c r="B759" t="s">
        <v>1199</v>
      </c>
      <c r="C759" t="s">
        <v>1228</v>
      </c>
      <c r="D759" t="s">
        <v>1187</v>
      </c>
      <c r="E759" t="s">
        <v>1229</v>
      </c>
      <c r="F759" t="s">
        <v>299</v>
      </c>
      <c r="G759">
        <v>20</v>
      </c>
      <c r="H759">
        <v>8</v>
      </c>
      <c r="I759">
        <v>63</v>
      </c>
      <c r="J759">
        <v>57</v>
      </c>
      <c r="K759">
        <v>10</v>
      </c>
      <c r="L759">
        <v>17</v>
      </c>
      <c r="M759">
        <v>24</v>
      </c>
      <c r="N759" t="s">
        <v>196</v>
      </c>
      <c r="O759" t="s">
        <v>1143</v>
      </c>
      <c r="P759" t="s">
        <v>228</v>
      </c>
      <c r="Q759" t="s">
        <v>295</v>
      </c>
      <c r="R759" t="s">
        <v>1189</v>
      </c>
      <c r="S759">
        <v>67</v>
      </c>
      <c r="T759">
        <v>88</v>
      </c>
      <c r="U759">
        <f t="shared" si="46"/>
        <v>-6.70274552564081</v>
      </c>
      <c r="V759">
        <f t="shared" si="47"/>
        <v>-806.199846721291</v>
      </c>
      <c r="W759">
        <f t="shared" si="48"/>
        <v>-6702.74552564081</v>
      </c>
      <c r="X759">
        <f t="shared" si="49"/>
        <v>-2.75153531304195</v>
      </c>
      <c r="Y759">
        <v>20</v>
      </c>
    </row>
    <row r="760" spans="1:25">
      <c r="A760" s="1">
        <v>842</v>
      </c>
      <c r="B760" t="s">
        <v>1199</v>
      </c>
      <c r="C760" t="s">
        <v>1230</v>
      </c>
      <c r="D760" t="s">
        <v>1187</v>
      </c>
      <c r="E760" t="s">
        <v>1231</v>
      </c>
      <c r="F760" t="s">
        <v>299</v>
      </c>
      <c r="G760">
        <v>20</v>
      </c>
      <c r="H760">
        <v>8</v>
      </c>
      <c r="I760">
        <v>63</v>
      </c>
      <c r="J760">
        <v>57</v>
      </c>
      <c r="K760">
        <v>10</v>
      </c>
      <c r="L760">
        <v>17</v>
      </c>
      <c r="M760">
        <v>24</v>
      </c>
      <c r="N760" t="s">
        <v>196</v>
      </c>
      <c r="O760" t="s">
        <v>1143</v>
      </c>
      <c r="P760" t="s">
        <v>228</v>
      </c>
      <c r="Q760" t="s">
        <v>295</v>
      </c>
      <c r="R760" t="s">
        <v>1189</v>
      </c>
      <c r="S760">
        <v>74</v>
      </c>
      <c r="T760">
        <v>92</v>
      </c>
      <c r="U760">
        <f t="shared" si="46"/>
        <v>-7.74174548683526</v>
      </c>
      <c r="V760">
        <f t="shared" si="47"/>
        <v>-931.169772291948</v>
      </c>
      <c r="W760">
        <f t="shared" si="48"/>
        <v>-7741.74548683526</v>
      </c>
      <c r="X760">
        <f t="shared" si="49"/>
        <v>-3.17805383034795</v>
      </c>
      <c r="Y760">
        <v>20</v>
      </c>
    </row>
    <row r="761" spans="1:25">
      <c r="A761" s="1">
        <v>843</v>
      </c>
      <c r="B761" t="s">
        <v>1199</v>
      </c>
      <c r="C761" t="s">
        <v>1232</v>
      </c>
      <c r="D761" t="s">
        <v>1187</v>
      </c>
      <c r="E761" t="s">
        <v>1233</v>
      </c>
      <c r="F761" t="s">
        <v>299</v>
      </c>
      <c r="G761">
        <v>20</v>
      </c>
      <c r="H761">
        <v>8</v>
      </c>
      <c r="I761">
        <v>63</v>
      </c>
      <c r="J761">
        <v>57</v>
      </c>
      <c r="K761">
        <v>10</v>
      </c>
      <c r="L761">
        <v>17</v>
      </c>
      <c r="M761">
        <v>24</v>
      </c>
      <c r="N761" t="s">
        <v>196</v>
      </c>
      <c r="O761" t="s">
        <v>1143</v>
      </c>
      <c r="P761" t="s">
        <v>228</v>
      </c>
      <c r="Q761" t="s">
        <v>295</v>
      </c>
      <c r="R761" t="s">
        <v>1189</v>
      </c>
      <c r="S761">
        <v>42</v>
      </c>
      <c r="T761">
        <v>84</v>
      </c>
      <c r="U761">
        <f t="shared" si="46"/>
        <v>-5.94956226285345</v>
      </c>
      <c r="V761">
        <f t="shared" si="47"/>
        <v>-715.607681363177</v>
      </c>
      <c r="W761">
        <f t="shared" si="48"/>
        <v>-5949.56226285345</v>
      </c>
      <c r="X761">
        <f t="shared" si="49"/>
        <v>-2.4423470353692</v>
      </c>
      <c r="Y761">
        <v>20</v>
      </c>
    </row>
    <row r="762" spans="1:25">
      <c r="A762" s="1">
        <v>844</v>
      </c>
      <c r="B762" t="s">
        <v>1199</v>
      </c>
      <c r="C762" t="s">
        <v>1234</v>
      </c>
      <c r="D762" t="s">
        <v>1187</v>
      </c>
      <c r="E762" t="s">
        <v>1235</v>
      </c>
      <c r="F762" t="s">
        <v>299</v>
      </c>
      <c r="G762">
        <v>20</v>
      </c>
      <c r="H762">
        <v>8</v>
      </c>
      <c r="I762">
        <v>63</v>
      </c>
      <c r="J762">
        <v>57</v>
      </c>
      <c r="K762">
        <v>10</v>
      </c>
      <c r="L762">
        <v>17</v>
      </c>
      <c r="M762">
        <v>24</v>
      </c>
      <c r="N762" t="s">
        <v>196</v>
      </c>
      <c r="O762" t="s">
        <v>1143</v>
      </c>
      <c r="P762" t="s">
        <v>228</v>
      </c>
      <c r="Q762" t="s">
        <v>295</v>
      </c>
      <c r="R762" t="s">
        <v>1189</v>
      </c>
      <c r="S762">
        <v>42</v>
      </c>
      <c r="T762">
        <v>81</v>
      </c>
      <c r="U762">
        <f t="shared" si="46"/>
        <v>-5.49088992303021</v>
      </c>
      <c r="V762">
        <f t="shared" si="47"/>
        <v>-660.43900926512</v>
      </c>
      <c r="W762">
        <f t="shared" si="48"/>
        <v>-5490.88992303021</v>
      </c>
      <c r="X762">
        <f t="shared" si="49"/>
        <v>-2.25405805209939</v>
      </c>
      <c r="Y762">
        <v>20</v>
      </c>
    </row>
    <row r="763" spans="1:25">
      <c r="A763" s="1">
        <v>844</v>
      </c>
      <c r="B763" t="s">
        <v>1199</v>
      </c>
      <c r="C763" t="s">
        <v>1234</v>
      </c>
      <c r="D763" t="s">
        <v>1187</v>
      </c>
      <c r="E763" t="s">
        <v>65</v>
      </c>
      <c r="F763" t="s">
        <v>299</v>
      </c>
      <c r="G763">
        <v>20</v>
      </c>
      <c r="H763">
        <v>8</v>
      </c>
      <c r="I763">
        <v>63</v>
      </c>
      <c r="J763">
        <v>57</v>
      </c>
      <c r="K763">
        <v>10</v>
      </c>
      <c r="L763">
        <v>17</v>
      </c>
      <c r="M763">
        <v>24</v>
      </c>
      <c r="N763" t="s">
        <v>196</v>
      </c>
      <c r="O763" t="s">
        <v>1143</v>
      </c>
      <c r="P763" t="s">
        <v>228</v>
      </c>
      <c r="Q763" t="s">
        <v>295</v>
      </c>
      <c r="R763" t="s">
        <v>1189</v>
      </c>
      <c r="S763">
        <v>42</v>
      </c>
      <c r="T763">
        <v>85</v>
      </c>
      <c r="U763">
        <f t="shared" si="46"/>
        <v>-6.11998152461706</v>
      </c>
      <c r="V763">
        <f t="shared" si="47"/>
        <v>-736.105547825002</v>
      </c>
      <c r="W763">
        <f t="shared" si="48"/>
        <v>-6119.98152461706</v>
      </c>
      <c r="X763">
        <f t="shared" ref="X763" si="50">-LN((1+T763*0.01)/(1-T763*0.01))</f>
        <v>-2.51230562397611</v>
      </c>
      <c r="Y763">
        <v>20</v>
      </c>
    </row>
    <row r="764" spans="1:25">
      <c r="A764" s="1">
        <v>845</v>
      </c>
      <c r="B764" t="s">
        <v>1199</v>
      </c>
      <c r="C764" t="s">
        <v>1236</v>
      </c>
      <c r="D764" t="s">
        <v>1187</v>
      </c>
      <c r="E764" t="s">
        <v>1237</v>
      </c>
      <c r="F764" t="s">
        <v>299</v>
      </c>
      <c r="G764">
        <v>20</v>
      </c>
      <c r="H764">
        <v>8</v>
      </c>
      <c r="I764">
        <v>63</v>
      </c>
      <c r="J764">
        <v>57</v>
      </c>
      <c r="K764">
        <v>10</v>
      </c>
      <c r="L764">
        <v>17</v>
      </c>
      <c r="M764">
        <v>24</v>
      </c>
      <c r="N764" t="s">
        <v>196</v>
      </c>
      <c r="O764" t="s">
        <v>1143</v>
      </c>
      <c r="P764" t="s">
        <v>228</v>
      </c>
      <c r="Q764" t="s">
        <v>295</v>
      </c>
      <c r="R764" t="s">
        <v>1189</v>
      </c>
      <c r="S764">
        <v>64</v>
      </c>
      <c r="T764">
        <v>86</v>
      </c>
      <c r="U764">
        <f t="shared" si="46"/>
        <v>-6.30118041560128</v>
      </c>
      <c r="V764">
        <f t="shared" si="47"/>
        <v>-757.899977820697</v>
      </c>
      <c r="W764">
        <f t="shared" si="48"/>
        <v>-6301.18041560128</v>
      </c>
      <c r="X764">
        <f t="shared" si="49"/>
        <v>-2.58668934409794</v>
      </c>
      <c r="Y764">
        <v>20</v>
      </c>
    </row>
    <row r="765" spans="1:25">
      <c r="A765" s="1">
        <v>846</v>
      </c>
      <c r="B765" t="s">
        <v>1199</v>
      </c>
      <c r="C765" t="s">
        <v>1238</v>
      </c>
      <c r="D765" t="s">
        <v>1187</v>
      </c>
      <c r="E765" t="s">
        <v>1239</v>
      </c>
      <c r="F765" t="s">
        <v>299</v>
      </c>
      <c r="G765">
        <v>20</v>
      </c>
      <c r="H765">
        <v>8</v>
      </c>
      <c r="I765">
        <v>63</v>
      </c>
      <c r="J765">
        <v>57</v>
      </c>
      <c r="K765">
        <v>10</v>
      </c>
      <c r="L765">
        <v>17</v>
      </c>
      <c r="M765">
        <v>24</v>
      </c>
      <c r="N765" t="s">
        <v>196</v>
      </c>
      <c r="O765" t="s">
        <v>1143</v>
      </c>
      <c r="P765" t="s">
        <v>228</v>
      </c>
      <c r="Q765" t="s">
        <v>295</v>
      </c>
      <c r="R765" t="s">
        <v>1189</v>
      </c>
      <c r="S765">
        <v>87</v>
      </c>
      <c r="T765">
        <v>91</v>
      </c>
      <c r="U765">
        <f t="shared" si="46"/>
        <v>-7.44210511042826</v>
      </c>
      <c r="V765">
        <f t="shared" si="47"/>
        <v>-895.12931325815</v>
      </c>
      <c r="W765">
        <f t="shared" si="48"/>
        <v>-7442.10511042826</v>
      </c>
      <c r="X765">
        <f t="shared" si="49"/>
        <v>-3.05504885071041</v>
      </c>
      <c r="Y765">
        <v>20</v>
      </c>
    </row>
    <row r="766" spans="1:25">
      <c r="A766" s="1">
        <v>847</v>
      </c>
      <c r="B766" t="s">
        <v>1199</v>
      </c>
      <c r="C766" t="s">
        <v>1240</v>
      </c>
      <c r="D766" t="s">
        <v>1187</v>
      </c>
      <c r="E766" t="s">
        <v>1241</v>
      </c>
      <c r="F766" t="s">
        <v>299</v>
      </c>
      <c r="G766">
        <v>20</v>
      </c>
      <c r="H766">
        <v>8</v>
      </c>
      <c r="I766">
        <v>63</v>
      </c>
      <c r="J766">
        <v>57</v>
      </c>
      <c r="K766">
        <v>10</v>
      </c>
      <c r="L766">
        <v>17</v>
      </c>
      <c r="M766">
        <v>24</v>
      </c>
      <c r="N766" t="s">
        <v>196</v>
      </c>
      <c r="O766" t="s">
        <v>1143</v>
      </c>
      <c r="P766" t="s">
        <v>228</v>
      </c>
      <c r="Q766" t="s">
        <v>295</v>
      </c>
      <c r="R766" t="s">
        <v>1189</v>
      </c>
      <c r="S766">
        <v>81</v>
      </c>
      <c r="T766">
        <v>88</v>
      </c>
      <c r="U766">
        <f t="shared" si="46"/>
        <v>-6.70274552564081</v>
      </c>
      <c r="V766">
        <f t="shared" si="47"/>
        <v>-806.199846721291</v>
      </c>
      <c r="W766">
        <f t="shared" si="48"/>
        <v>-6702.74552564081</v>
      </c>
      <c r="X766">
        <f t="shared" si="49"/>
        <v>-2.75153531304195</v>
      </c>
      <c r="Y766">
        <v>20</v>
      </c>
    </row>
    <row r="767" spans="1:25">
      <c r="A767" s="1">
        <v>848</v>
      </c>
      <c r="B767" t="s">
        <v>1199</v>
      </c>
      <c r="C767" t="s">
        <v>1242</v>
      </c>
      <c r="D767" t="s">
        <v>1187</v>
      </c>
      <c r="E767" t="s">
        <v>1243</v>
      </c>
      <c r="F767" t="s">
        <v>299</v>
      </c>
      <c r="G767">
        <v>20</v>
      </c>
      <c r="H767">
        <v>8</v>
      </c>
      <c r="I767">
        <v>63</v>
      </c>
      <c r="J767">
        <v>57</v>
      </c>
      <c r="K767">
        <v>10</v>
      </c>
      <c r="L767">
        <v>17</v>
      </c>
      <c r="M767">
        <v>24</v>
      </c>
      <c r="N767" t="s">
        <v>196</v>
      </c>
      <c r="O767" t="s">
        <v>1143</v>
      </c>
      <c r="P767" t="s">
        <v>228</v>
      </c>
      <c r="Q767" t="s">
        <v>295</v>
      </c>
      <c r="R767" t="s">
        <v>1189</v>
      </c>
      <c r="S767">
        <v>58</v>
      </c>
      <c r="T767">
        <v>94</v>
      </c>
      <c r="U767">
        <f t="shared" si="46"/>
        <v>-8.46778336063611</v>
      </c>
      <c r="V767">
        <f t="shared" si="47"/>
        <v>-1018.49691612174</v>
      </c>
      <c r="W767">
        <f t="shared" si="48"/>
        <v>-8467.78336063611</v>
      </c>
      <c r="X767">
        <f t="shared" si="49"/>
        <v>-3.47609868983527</v>
      </c>
      <c r="Y767">
        <v>20</v>
      </c>
    </row>
    <row r="768" spans="1:25">
      <c r="A768" s="1">
        <v>849</v>
      </c>
      <c r="B768" t="s">
        <v>1199</v>
      </c>
      <c r="C768" t="s">
        <v>1244</v>
      </c>
      <c r="D768" t="s">
        <v>1187</v>
      </c>
      <c r="E768" t="s">
        <v>1245</v>
      </c>
      <c r="F768" t="s">
        <v>299</v>
      </c>
      <c r="G768">
        <v>20</v>
      </c>
      <c r="H768">
        <v>8</v>
      </c>
      <c r="I768">
        <v>63</v>
      </c>
      <c r="J768">
        <v>57</v>
      </c>
      <c r="K768">
        <v>10</v>
      </c>
      <c r="L768">
        <v>17</v>
      </c>
      <c r="M768">
        <v>24</v>
      </c>
      <c r="N768" t="s">
        <v>196</v>
      </c>
      <c r="O768" t="s">
        <v>1143</v>
      </c>
      <c r="P768" t="s">
        <v>228</v>
      </c>
      <c r="Q768" t="s">
        <v>295</v>
      </c>
      <c r="R768" t="s">
        <v>1189</v>
      </c>
      <c r="S768">
        <v>64</v>
      </c>
      <c r="T768">
        <v>92</v>
      </c>
      <c r="U768">
        <f t="shared" si="46"/>
        <v>-7.74174548683526</v>
      </c>
      <c r="V768">
        <f t="shared" si="47"/>
        <v>-931.169772291948</v>
      </c>
      <c r="W768">
        <f t="shared" si="48"/>
        <v>-7741.74548683526</v>
      </c>
      <c r="X768">
        <f t="shared" si="49"/>
        <v>-3.17805383034795</v>
      </c>
      <c r="Y768">
        <v>20</v>
      </c>
    </row>
    <row r="769" spans="1:25">
      <c r="A769" s="1">
        <v>850</v>
      </c>
      <c r="B769" t="s">
        <v>1199</v>
      </c>
      <c r="C769" t="s">
        <v>1246</v>
      </c>
      <c r="D769" t="s">
        <v>1187</v>
      </c>
      <c r="E769" t="s">
        <v>1247</v>
      </c>
      <c r="F769" t="s">
        <v>299</v>
      </c>
      <c r="G769">
        <v>20</v>
      </c>
      <c r="H769">
        <v>8</v>
      </c>
      <c r="I769">
        <v>63</v>
      </c>
      <c r="J769">
        <v>57</v>
      </c>
      <c r="K769">
        <v>10</v>
      </c>
      <c r="L769">
        <v>17</v>
      </c>
      <c r="M769">
        <v>24</v>
      </c>
      <c r="N769" t="s">
        <v>196</v>
      </c>
      <c r="O769" t="s">
        <v>1143</v>
      </c>
      <c r="P769" t="s">
        <v>228</v>
      </c>
      <c r="Q769" t="s">
        <v>295</v>
      </c>
      <c r="R769" t="s">
        <v>1189</v>
      </c>
      <c r="S769">
        <v>34</v>
      </c>
      <c r="T769">
        <v>92</v>
      </c>
      <c r="U769">
        <f t="shared" si="46"/>
        <v>-7.74174548683526</v>
      </c>
      <c r="V769">
        <f t="shared" si="47"/>
        <v>-931.169772291948</v>
      </c>
      <c r="W769">
        <f t="shared" si="48"/>
        <v>-7741.74548683526</v>
      </c>
      <c r="X769">
        <f t="shared" si="49"/>
        <v>-3.17805383034795</v>
      </c>
      <c r="Y769">
        <v>20</v>
      </c>
    </row>
    <row r="770" spans="1:25">
      <c r="A770" s="1">
        <v>851</v>
      </c>
      <c r="B770" t="s">
        <v>1199</v>
      </c>
      <c r="C770" t="s">
        <v>1248</v>
      </c>
      <c r="D770" t="s">
        <v>1187</v>
      </c>
      <c r="E770" t="s">
        <v>1249</v>
      </c>
      <c r="F770" t="s">
        <v>299</v>
      </c>
      <c r="G770">
        <v>20</v>
      </c>
      <c r="H770">
        <v>8</v>
      </c>
      <c r="I770">
        <v>63</v>
      </c>
      <c r="J770">
        <v>57</v>
      </c>
      <c r="K770">
        <v>10</v>
      </c>
      <c r="L770">
        <v>17</v>
      </c>
      <c r="M770">
        <v>24</v>
      </c>
      <c r="N770" t="s">
        <v>196</v>
      </c>
      <c r="O770" t="s">
        <v>1143</v>
      </c>
      <c r="P770" t="s">
        <v>228</v>
      </c>
      <c r="Q770" t="s">
        <v>295</v>
      </c>
      <c r="R770" t="s">
        <v>1189</v>
      </c>
      <c r="S770">
        <v>60</v>
      </c>
      <c r="T770">
        <v>95</v>
      </c>
      <c r="U770">
        <f t="shared" ref="U770:U833" si="51">LN((1+T770*0.01)/(1-T770*0.01))*-(G770+273)*8.314/1000</f>
        <v>-8.92444349709512</v>
      </c>
      <c r="V770">
        <f t="shared" ref="V770:V833" si="52">LN((1+T770*0.01)/(1-T770*0.01))*-(G770+273)</f>
        <v>-1073.42356231599</v>
      </c>
      <c r="W770">
        <f t="shared" ref="W770:W833" si="53">LN((1+T770*0.01)/(1-T770*0.01))*-(G770+273)*8.314</f>
        <v>-8924.44349709512</v>
      </c>
      <c r="X770">
        <f t="shared" si="49"/>
        <v>-3.66356164612965</v>
      </c>
      <c r="Y770">
        <v>20</v>
      </c>
    </row>
    <row r="771" spans="1:25">
      <c r="A771" s="1">
        <v>852</v>
      </c>
      <c r="B771" t="s">
        <v>1199</v>
      </c>
      <c r="C771" t="s">
        <v>1250</v>
      </c>
      <c r="D771" t="s">
        <v>1187</v>
      </c>
      <c r="E771" t="s">
        <v>1251</v>
      </c>
      <c r="F771" t="s">
        <v>299</v>
      </c>
      <c r="G771">
        <v>20</v>
      </c>
      <c r="H771">
        <v>8</v>
      </c>
      <c r="I771">
        <v>63</v>
      </c>
      <c r="J771">
        <v>57</v>
      </c>
      <c r="K771">
        <v>10</v>
      </c>
      <c r="L771">
        <v>17</v>
      </c>
      <c r="M771">
        <v>24</v>
      </c>
      <c r="N771" t="s">
        <v>196</v>
      </c>
      <c r="O771" t="s">
        <v>1143</v>
      </c>
      <c r="P771" t="s">
        <v>228</v>
      </c>
      <c r="Q771" t="s">
        <v>295</v>
      </c>
      <c r="R771" t="s">
        <v>1189</v>
      </c>
      <c r="S771">
        <v>33</v>
      </c>
      <c r="T771">
        <v>93</v>
      </c>
      <c r="U771">
        <f t="shared" si="51"/>
        <v>-8.07968281063364</v>
      </c>
      <c r="V771">
        <f t="shared" si="52"/>
        <v>-971.816551675925</v>
      </c>
      <c r="W771">
        <f t="shared" si="53"/>
        <v>-8079.68281063364</v>
      </c>
      <c r="X771">
        <f t="shared" si="49"/>
        <v>-3.31678003984957</v>
      </c>
      <c r="Y771">
        <v>20</v>
      </c>
    </row>
    <row r="772" spans="1:25">
      <c r="A772" s="1">
        <v>853</v>
      </c>
      <c r="B772" t="s">
        <v>1199</v>
      </c>
      <c r="C772" t="s">
        <v>1252</v>
      </c>
      <c r="D772" t="s">
        <v>1187</v>
      </c>
      <c r="E772" t="s">
        <v>1253</v>
      </c>
      <c r="F772" t="s">
        <v>299</v>
      </c>
      <c r="G772">
        <v>20</v>
      </c>
      <c r="H772">
        <v>8</v>
      </c>
      <c r="I772">
        <v>63</v>
      </c>
      <c r="J772">
        <v>57</v>
      </c>
      <c r="K772">
        <v>10</v>
      </c>
      <c r="L772">
        <v>17</v>
      </c>
      <c r="M772">
        <v>24</v>
      </c>
      <c r="N772" t="s">
        <v>196</v>
      </c>
      <c r="O772" t="s">
        <v>1143</v>
      </c>
      <c r="P772" t="s">
        <v>228</v>
      </c>
      <c r="Q772" t="s">
        <v>295</v>
      </c>
      <c r="R772" t="s">
        <v>1189</v>
      </c>
      <c r="S772">
        <v>60</v>
      </c>
      <c r="T772">
        <v>94</v>
      </c>
      <c r="U772">
        <f t="shared" si="51"/>
        <v>-8.46778336063611</v>
      </c>
      <c r="V772">
        <f t="shared" si="52"/>
        <v>-1018.49691612174</v>
      </c>
      <c r="W772">
        <f t="shared" si="53"/>
        <v>-8467.78336063611</v>
      </c>
      <c r="X772">
        <f t="shared" si="49"/>
        <v>-3.47609868983527</v>
      </c>
      <c r="Y772">
        <v>20</v>
      </c>
    </row>
    <row r="773" spans="1:25">
      <c r="A773" s="1">
        <v>854</v>
      </c>
      <c r="B773" t="s">
        <v>1199</v>
      </c>
      <c r="C773" t="s">
        <v>1254</v>
      </c>
      <c r="D773" t="s">
        <v>1187</v>
      </c>
      <c r="E773" t="s">
        <v>1255</v>
      </c>
      <c r="F773" t="s">
        <v>299</v>
      </c>
      <c r="G773">
        <v>20</v>
      </c>
      <c r="H773">
        <v>8</v>
      </c>
      <c r="I773">
        <v>63</v>
      </c>
      <c r="J773">
        <v>57</v>
      </c>
      <c r="K773">
        <v>10</v>
      </c>
      <c r="L773">
        <v>17</v>
      </c>
      <c r="M773">
        <v>24</v>
      </c>
      <c r="N773" t="s">
        <v>196</v>
      </c>
      <c r="O773" t="s">
        <v>1143</v>
      </c>
      <c r="P773" t="s">
        <v>228</v>
      </c>
      <c r="Q773" t="s">
        <v>295</v>
      </c>
      <c r="R773" t="s">
        <v>1189</v>
      </c>
      <c r="S773">
        <v>46</v>
      </c>
      <c r="T773">
        <v>90</v>
      </c>
      <c r="U773">
        <f t="shared" si="51"/>
        <v>-7.17265924212741</v>
      </c>
      <c r="V773">
        <f t="shared" si="52"/>
        <v>-862.720620895767</v>
      </c>
      <c r="W773">
        <f t="shared" si="53"/>
        <v>-7172.65924212741</v>
      </c>
      <c r="X773">
        <f t="shared" si="49"/>
        <v>-2.94443897916644</v>
      </c>
      <c r="Y773">
        <v>20</v>
      </c>
    </row>
    <row r="774" spans="1:25">
      <c r="A774" s="1">
        <v>855</v>
      </c>
      <c r="B774" t="s">
        <v>1199</v>
      </c>
      <c r="C774" t="s">
        <v>1256</v>
      </c>
      <c r="D774" t="s">
        <v>1187</v>
      </c>
      <c r="E774" t="s">
        <v>1257</v>
      </c>
      <c r="F774" t="s">
        <v>299</v>
      </c>
      <c r="G774">
        <v>20</v>
      </c>
      <c r="H774">
        <v>8</v>
      </c>
      <c r="I774">
        <v>63</v>
      </c>
      <c r="J774">
        <v>57</v>
      </c>
      <c r="K774">
        <v>10</v>
      </c>
      <c r="L774">
        <v>17</v>
      </c>
      <c r="M774">
        <v>24</v>
      </c>
      <c r="N774" t="s">
        <v>196</v>
      </c>
      <c r="O774" t="s">
        <v>1143</v>
      </c>
      <c r="P774" t="s">
        <v>228</v>
      </c>
      <c r="Q774" t="s">
        <v>295</v>
      </c>
      <c r="R774" t="s">
        <v>1189</v>
      </c>
      <c r="S774">
        <v>66</v>
      </c>
      <c r="T774">
        <v>90</v>
      </c>
      <c r="U774">
        <f t="shared" si="51"/>
        <v>-7.17265924212741</v>
      </c>
      <c r="V774">
        <f t="shared" si="52"/>
        <v>-862.720620895767</v>
      </c>
      <c r="W774">
        <f t="shared" si="53"/>
        <v>-7172.65924212741</v>
      </c>
      <c r="X774">
        <f t="shared" si="49"/>
        <v>-2.94443897916644</v>
      </c>
      <c r="Y774">
        <v>20</v>
      </c>
    </row>
    <row r="775" spans="1:25">
      <c r="A775" s="1">
        <v>856</v>
      </c>
      <c r="B775" t="s">
        <v>1199</v>
      </c>
      <c r="C775" t="s">
        <v>1258</v>
      </c>
      <c r="D775" t="s">
        <v>1187</v>
      </c>
      <c r="E775" t="s">
        <v>1259</v>
      </c>
      <c r="F775" t="s">
        <v>299</v>
      </c>
      <c r="G775">
        <v>20</v>
      </c>
      <c r="H775">
        <v>8</v>
      </c>
      <c r="I775">
        <v>63</v>
      </c>
      <c r="J775">
        <v>57</v>
      </c>
      <c r="K775">
        <v>10</v>
      </c>
      <c r="L775">
        <v>17</v>
      </c>
      <c r="M775">
        <v>24</v>
      </c>
      <c r="N775" t="s">
        <v>196</v>
      </c>
      <c r="O775" t="s">
        <v>1143</v>
      </c>
      <c r="P775" t="s">
        <v>228</v>
      </c>
      <c r="Q775" t="s">
        <v>295</v>
      </c>
      <c r="R775" t="s">
        <v>1189</v>
      </c>
      <c r="S775">
        <v>64</v>
      </c>
      <c r="T775">
        <v>90</v>
      </c>
      <c r="U775">
        <f t="shared" si="51"/>
        <v>-7.17265924212741</v>
      </c>
      <c r="V775">
        <f t="shared" si="52"/>
        <v>-862.720620895767</v>
      </c>
      <c r="W775">
        <f t="shared" si="53"/>
        <v>-7172.65924212741</v>
      </c>
      <c r="X775">
        <f t="shared" si="49"/>
        <v>-2.94443897916644</v>
      </c>
      <c r="Y775">
        <v>20</v>
      </c>
    </row>
    <row r="776" spans="1:25">
      <c r="A776" s="1">
        <v>857</v>
      </c>
      <c r="B776" t="s">
        <v>1199</v>
      </c>
      <c r="C776" t="s">
        <v>1260</v>
      </c>
      <c r="D776" t="s">
        <v>1187</v>
      </c>
      <c r="E776" t="s">
        <v>1261</v>
      </c>
      <c r="F776" t="s">
        <v>299</v>
      </c>
      <c r="G776">
        <v>20</v>
      </c>
      <c r="H776">
        <v>8</v>
      </c>
      <c r="I776">
        <v>63</v>
      </c>
      <c r="J776">
        <v>57</v>
      </c>
      <c r="K776">
        <v>10</v>
      </c>
      <c r="L776">
        <v>17</v>
      </c>
      <c r="M776">
        <v>24</v>
      </c>
      <c r="N776" t="s">
        <v>196</v>
      </c>
      <c r="O776" t="s">
        <v>1143</v>
      </c>
      <c r="P776" t="s">
        <v>228</v>
      </c>
      <c r="Q776" t="s">
        <v>295</v>
      </c>
      <c r="R776" t="s">
        <v>1189</v>
      </c>
      <c r="S776">
        <v>63</v>
      </c>
      <c r="T776">
        <v>90</v>
      </c>
      <c r="U776">
        <f t="shared" si="51"/>
        <v>-7.17265924212741</v>
      </c>
      <c r="V776">
        <f t="shared" si="52"/>
        <v>-862.720620895767</v>
      </c>
      <c r="W776">
        <f t="shared" si="53"/>
        <v>-7172.65924212741</v>
      </c>
      <c r="X776">
        <f t="shared" si="49"/>
        <v>-2.94443897916644</v>
      </c>
      <c r="Y776">
        <v>20</v>
      </c>
    </row>
    <row r="777" spans="1:25">
      <c r="A777" s="1">
        <v>858</v>
      </c>
      <c r="B777" t="s">
        <v>1199</v>
      </c>
      <c r="C777" t="s">
        <v>1262</v>
      </c>
      <c r="D777" t="s">
        <v>1187</v>
      </c>
      <c r="E777" t="s">
        <v>1263</v>
      </c>
      <c r="F777" t="s">
        <v>299</v>
      </c>
      <c r="G777">
        <v>20</v>
      </c>
      <c r="H777">
        <v>8</v>
      </c>
      <c r="I777">
        <v>63</v>
      </c>
      <c r="J777">
        <v>57</v>
      </c>
      <c r="K777">
        <v>10</v>
      </c>
      <c r="L777">
        <v>17</v>
      </c>
      <c r="M777">
        <v>24</v>
      </c>
      <c r="N777" t="s">
        <v>196</v>
      </c>
      <c r="O777" t="s">
        <v>1143</v>
      </c>
      <c r="P777" t="s">
        <v>228</v>
      </c>
      <c r="Q777" t="s">
        <v>295</v>
      </c>
      <c r="R777" t="s">
        <v>1189</v>
      </c>
      <c r="S777">
        <v>50</v>
      </c>
      <c r="T777">
        <v>92</v>
      </c>
      <c r="U777">
        <f t="shared" si="51"/>
        <v>-7.74174548683526</v>
      </c>
      <c r="V777">
        <f t="shared" si="52"/>
        <v>-931.169772291948</v>
      </c>
      <c r="W777">
        <f t="shared" si="53"/>
        <v>-7741.74548683526</v>
      </c>
      <c r="X777">
        <f t="shared" si="49"/>
        <v>-3.17805383034795</v>
      </c>
      <c r="Y777">
        <v>20</v>
      </c>
    </row>
    <row r="778" spans="1:25">
      <c r="A778" s="1">
        <v>859</v>
      </c>
      <c r="B778" t="s">
        <v>1199</v>
      </c>
      <c r="C778" t="s">
        <v>1264</v>
      </c>
      <c r="D778" t="s">
        <v>1265</v>
      </c>
      <c r="E778" t="s">
        <v>1266</v>
      </c>
      <c r="F778" t="s">
        <v>299</v>
      </c>
      <c r="G778">
        <v>20</v>
      </c>
      <c r="H778">
        <v>8</v>
      </c>
      <c r="I778">
        <v>63</v>
      </c>
      <c r="J778">
        <v>57</v>
      </c>
      <c r="K778">
        <v>10</v>
      </c>
      <c r="L778">
        <v>17</v>
      </c>
      <c r="M778">
        <v>24</v>
      </c>
      <c r="N778" t="s">
        <v>196</v>
      </c>
      <c r="O778" t="s">
        <v>1143</v>
      </c>
      <c r="P778" t="s">
        <v>228</v>
      </c>
      <c r="Q778" t="s">
        <v>295</v>
      </c>
      <c r="R778" t="s">
        <v>1189</v>
      </c>
      <c r="S778">
        <v>88</v>
      </c>
      <c r="T778">
        <v>93</v>
      </c>
      <c r="U778">
        <f t="shared" si="51"/>
        <v>-8.07968281063364</v>
      </c>
      <c r="V778">
        <f t="shared" si="52"/>
        <v>-971.816551675925</v>
      </c>
      <c r="W778">
        <f t="shared" si="53"/>
        <v>-8079.68281063364</v>
      </c>
      <c r="X778">
        <f t="shared" si="49"/>
        <v>-3.31678003984957</v>
      </c>
      <c r="Y778">
        <v>20</v>
      </c>
    </row>
    <row r="779" spans="1:25">
      <c r="A779" s="1">
        <v>860</v>
      </c>
      <c r="B779" t="s">
        <v>1199</v>
      </c>
      <c r="C779" t="s">
        <v>1267</v>
      </c>
      <c r="D779" t="s">
        <v>1268</v>
      </c>
      <c r="E779" t="s">
        <v>1266</v>
      </c>
      <c r="F779" t="s">
        <v>299</v>
      </c>
      <c r="G779">
        <v>20</v>
      </c>
      <c r="H779">
        <v>8</v>
      </c>
      <c r="I779">
        <v>63</v>
      </c>
      <c r="J779">
        <v>57</v>
      </c>
      <c r="K779">
        <v>10</v>
      </c>
      <c r="L779">
        <v>17</v>
      </c>
      <c r="M779">
        <v>24</v>
      </c>
      <c r="N779" t="s">
        <v>196</v>
      </c>
      <c r="O779" t="s">
        <v>1143</v>
      </c>
      <c r="P779" t="s">
        <v>228</v>
      </c>
      <c r="Q779" t="s">
        <v>295</v>
      </c>
      <c r="R779" t="s">
        <v>1189</v>
      </c>
      <c r="S779">
        <v>72</v>
      </c>
      <c r="T779">
        <v>90</v>
      </c>
      <c r="U779">
        <f t="shared" si="51"/>
        <v>-7.17265924212741</v>
      </c>
      <c r="V779">
        <f t="shared" si="52"/>
        <v>-862.720620895767</v>
      </c>
      <c r="W779">
        <f t="shared" si="53"/>
        <v>-7172.65924212741</v>
      </c>
      <c r="X779">
        <f t="shared" si="49"/>
        <v>-2.94443897916644</v>
      </c>
      <c r="Y779">
        <v>20</v>
      </c>
    </row>
    <row r="780" spans="1:25">
      <c r="A780" s="1">
        <v>861</v>
      </c>
      <c r="B780" t="s">
        <v>1199</v>
      </c>
      <c r="C780" t="s">
        <v>1269</v>
      </c>
      <c r="D780" t="s">
        <v>1270</v>
      </c>
      <c r="E780" t="s">
        <v>1266</v>
      </c>
      <c r="F780" t="s">
        <v>299</v>
      </c>
      <c r="G780">
        <v>20</v>
      </c>
      <c r="H780">
        <v>8</v>
      </c>
      <c r="I780">
        <v>63</v>
      </c>
      <c r="J780">
        <v>57</v>
      </c>
      <c r="K780">
        <v>10</v>
      </c>
      <c r="L780">
        <v>17</v>
      </c>
      <c r="M780">
        <v>24</v>
      </c>
      <c r="N780" t="s">
        <v>196</v>
      </c>
      <c r="O780" t="s">
        <v>1143</v>
      </c>
      <c r="P780" t="s">
        <v>228</v>
      </c>
      <c r="Q780" t="s">
        <v>295</v>
      </c>
      <c r="R780" t="s">
        <v>1189</v>
      </c>
      <c r="S780">
        <v>84</v>
      </c>
      <c r="T780">
        <v>89</v>
      </c>
      <c r="U780">
        <f t="shared" si="51"/>
        <v>-6.92762853185194</v>
      </c>
      <c r="V780">
        <f t="shared" si="52"/>
        <v>-833.248560482553</v>
      </c>
      <c r="W780">
        <f t="shared" si="53"/>
        <v>-6927.62853185194</v>
      </c>
      <c r="X780">
        <f t="shared" si="49"/>
        <v>-2.84385174226127</v>
      </c>
      <c r="Y780">
        <v>20</v>
      </c>
    </row>
    <row r="781" spans="1:25">
      <c r="A781" s="1">
        <v>862</v>
      </c>
      <c r="B781" t="s">
        <v>1199</v>
      </c>
      <c r="C781" t="s">
        <v>1271</v>
      </c>
      <c r="D781" t="s">
        <v>1272</v>
      </c>
      <c r="E781" t="s">
        <v>1266</v>
      </c>
      <c r="F781" t="s">
        <v>299</v>
      </c>
      <c r="G781">
        <v>20</v>
      </c>
      <c r="H781">
        <v>8</v>
      </c>
      <c r="I781">
        <v>63</v>
      </c>
      <c r="J781">
        <v>57</v>
      </c>
      <c r="K781">
        <v>10</v>
      </c>
      <c r="L781">
        <v>17</v>
      </c>
      <c r="M781">
        <v>24</v>
      </c>
      <c r="N781" t="s">
        <v>196</v>
      </c>
      <c r="O781" t="s">
        <v>1143</v>
      </c>
      <c r="P781" t="s">
        <v>228</v>
      </c>
      <c r="Q781" t="s">
        <v>295</v>
      </c>
      <c r="R781" t="s">
        <v>1189</v>
      </c>
      <c r="S781">
        <v>52</v>
      </c>
      <c r="T781">
        <v>89</v>
      </c>
      <c r="U781">
        <f t="shared" si="51"/>
        <v>-6.92762853185194</v>
      </c>
      <c r="V781">
        <f t="shared" si="52"/>
        <v>-833.248560482553</v>
      </c>
      <c r="W781">
        <f t="shared" si="53"/>
        <v>-6927.62853185194</v>
      </c>
      <c r="X781">
        <f t="shared" si="49"/>
        <v>-2.84385174226127</v>
      </c>
      <c r="Y781">
        <v>20</v>
      </c>
    </row>
    <row r="782" spans="1:25">
      <c r="A782" s="1">
        <v>863</v>
      </c>
      <c r="B782" t="s">
        <v>1199</v>
      </c>
      <c r="C782" t="s">
        <v>1273</v>
      </c>
      <c r="D782" t="s">
        <v>1274</v>
      </c>
      <c r="E782" t="s">
        <v>1266</v>
      </c>
      <c r="F782" t="s">
        <v>299</v>
      </c>
      <c r="G782">
        <v>20</v>
      </c>
      <c r="H782">
        <v>8</v>
      </c>
      <c r="I782">
        <v>63</v>
      </c>
      <c r="J782">
        <v>38</v>
      </c>
      <c r="K782">
        <v>10</v>
      </c>
      <c r="L782">
        <v>17</v>
      </c>
      <c r="M782">
        <v>24</v>
      </c>
      <c r="N782" t="s">
        <v>196</v>
      </c>
      <c r="O782" t="s">
        <v>1190</v>
      </c>
      <c r="P782" t="s">
        <v>228</v>
      </c>
      <c r="Q782" t="s">
        <v>295</v>
      </c>
      <c r="R782" t="s">
        <v>1189</v>
      </c>
      <c r="S782">
        <v>58</v>
      </c>
      <c r="T782">
        <v>86</v>
      </c>
      <c r="U782">
        <f t="shared" si="51"/>
        <v>-6.30118041560128</v>
      </c>
      <c r="V782">
        <f t="shared" si="52"/>
        <v>-757.899977820697</v>
      </c>
      <c r="W782">
        <f t="shared" si="53"/>
        <v>-6301.18041560128</v>
      </c>
      <c r="X782">
        <f t="shared" si="49"/>
        <v>-2.58668934409794</v>
      </c>
      <c r="Y782">
        <v>20</v>
      </c>
    </row>
    <row r="783" spans="1:25">
      <c r="A783" s="1">
        <v>864</v>
      </c>
      <c r="B783" t="s">
        <v>1199</v>
      </c>
      <c r="C783" t="s">
        <v>1275</v>
      </c>
      <c r="D783" t="s">
        <v>1276</v>
      </c>
      <c r="E783" t="s">
        <v>1266</v>
      </c>
      <c r="F783" t="s">
        <v>299</v>
      </c>
      <c r="G783">
        <v>20</v>
      </c>
      <c r="H783">
        <v>8</v>
      </c>
      <c r="I783">
        <v>63</v>
      </c>
      <c r="J783">
        <v>57</v>
      </c>
      <c r="K783">
        <v>10</v>
      </c>
      <c r="L783">
        <v>17</v>
      </c>
      <c r="M783">
        <v>24</v>
      </c>
      <c r="N783" t="s">
        <v>196</v>
      </c>
      <c r="O783" t="s">
        <v>1143</v>
      </c>
      <c r="P783" t="s">
        <v>228</v>
      </c>
      <c r="Q783" t="s">
        <v>295</v>
      </c>
      <c r="R783" t="s">
        <v>1189</v>
      </c>
      <c r="S783">
        <v>61</v>
      </c>
      <c r="T783">
        <v>71</v>
      </c>
      <c r="U783">
        <f t="shared" si="51"/>
        <v>-4.32236333052888</v>
      </c>
      <c r="V783">
        <f t="shared" si="52"/>
        <v>-519.889743869242</v>
      </c>
      <c r="W783">
        <f t="shared" si="53"/>
        <v>-4322.36333052888</v>
      </c>
      <c r="X783">
        <f t="shared" si="49"/>
        <v>-1.77436772651619</v>
      </c>
      <c r="Y783">
        <v>20</v>
      </c>
    </row>
    <row r="784" spans="1:25">
      <c r="A784" s="1">
        <v>865</v>
      </c>
      <c r="B784" t="s">
        <v>1199</v>
      </c>
      <c r="C784" t="s">
        <v>1277</v>
      </c>
      <c r="D784" t="s">
        <v>1278</v>
      </c>
      <c r="E784" t="s">
        <v>1266</v>
      </c>
      <c r="F784" t="s">
        <v>299</v>
      </c>
      <c r="G784">
        <v>20</v>
      </c>
      <c r="H784">
        <v>8</v>
      </c>
      <c r="I784">
        <v>63</v>
      </c>
      <c r="J784">
        <v>57</v>
      </c>
      <c r="K784">
        <v>10</v>
      </c>
      <c r="L784">
        <v>17</v>
      </c>
      <c r="M784">
        <v>24</v>
      </c>
      <c r="N784" t="s">
        <v>196</v>
      </c>
      <c r="O784" t="s">
        <v>1143</v>
      </c>
      <c r="P784" t="s">
        <v>228</v>
      </c>
      <c r="Q784" t="s">
        <v>295</v>
      </c>
      <c r="R784" t="s">
        <v>1189</v>
      </c>
      <c r="S784">
        <v>67</v>
      </c>
      <c r="T784">
        <v>81</v>
      </c>
      <c r="U784">
        <f t="shared" si="51"/>
        <v>-5.49088992303021</v>
      </c>
      <c r="V784">
        <f t="shared" si="52"/>
        <v>-660.43900926512</v>
      </c>
      <c r="W784">
        <f t="shared" si="53"/>
        <v>-5490.88992303021</v>
      </c>
      <c r="X784">
        <f t="shared" si="49"/>
        <v>-2.25405805209939</v>
      </c>
      <c r="Y784">
        <v>20</v>
      </c>
    </row>
    <row r="785" spans="1:25">
      <c r="A785" s="1">
        <v>866</v>
      </c>
      <c r="B785" t="s">
        <v>1199</v>
      </c>
      <c r="C785" t="s">
        <v>1279</v>
      </c>
      <c r="D785" t="s">
        <v>1280</v>
      </c>
      <c r="E785" t="s">
        <v>1266</v>
      </c>
      <c r="F785" t="s">
        <v>299</v>
      </c>
      <c r="G785">
        <v>20</v>
      </c>
      <c r="H785">
        <v>8</v>
      </c>
      <c r="I785">
        <v>63</v>
      </c>
      <c r="J785">
        <v>57</v>
      </c>
      <c r="K785">
        <v>10</v>
      </c>
      <c r="L785">
        <v>17</v>
      </c>
      <c r="M785">
        <v>24</v>
      </c>
      <c r="N785" t="s">
        <v>196</v>
      </c>
      <c r="O785" t="s">
        <v>1143</v>
      </c>
      <c r="P785" t="s">
        <v>228</v>
      </c>
      <c r="Q785" t="s">
        <v>295</v>
      </c>
      <c r="R785" t="s">
        <v>1189</v>
      </c>
      <c r="S785">
        <v>85</v>
      </c>
      <c r="T785">
        <v>86</v>
      </c>
      <c r="U785">
        <f t="shared" si="51"/>
        <v>-6.30118041560128</v>
      </c>
      <c r="V785">
        <f t="shared" si="52"/>
        <v>-757.899977820697</v>
      </c>
      <c r="W785">
        <f t="shared" si="53"/>
        <v>-6301.18041560128</v>
      </c>
      <c r="X785">
        <f t="shared" si="49"/>
        <v>-2.58668934409794</v>
      </c>
      <c r="Y785">
        <v>20</v>
      </c>
    </row>
    <row r="786" spans="1:25">
      <c r="A786" s="1">
        <v>867</v>
      </c>
      <c r="B786" t="s">
        <v>1199</v>
      </c>
      <c r="C786" t="s">
        <v>1281</v>
      </c>
      <c r="D786" t="s">
        <v>1282</v>
      </c>
      <c r="E786" t="s">
        <v>1266</v>
      </c>
      <c r="F786" t="s">
        <v>299</v>
      </c>
      <c r="G786">
        <v>20</v>
      </c>
      <c r="H786">
        <v>8</v>
      </c>
      <c r="I786">
        <v>63</v>
      </c>
      <c r="J786">
        <v>57</v>
      </c>
      <c r="K786">
        <v>10</v>
      </c>
      <c r="L786">
        <v>17</v>
      </c>
      <c r="M786">
        <v>24</v>
      </c>
      <c r="N786" t="s">
        <v>196</v>
      </c>
      <c r="O786" t="s">
        <v>1143</v>
      </c>
      <c r="P786" t="s">
        <v>228</v>
      </c>
      <c r="Q786" t="s">
        <v>295</v>
      </c>
      <c r="R786" t="s">
        <v>1189</v>
      </c>
      <c r="S786">
        <v>87</v>
      </c>
      <c r="T786">
        <v>85</v>
      </c>
      <c r="U786">
        <f t="shared" si="51"/>
        <v>-6.11998152461706</v>
      </c>
      <c r="V786">
        <f t="shared" si="52"/>
        <v>-736.105547825002</v>
      </c>
      <c r="W786">
        <f t="shared" si="53"/>
        <v>-6119.98152461706</v>
      </c>
      <c r="X786">
        <f t="shared" si="49"/>
        <v>-2.51230562397611</v>
      </c>
      <c r="Y786">
        <v>20</v>
      </c>
    </row>
    <row r="787" spans="1:25">
      <c r="A787" s="1">
        <v>868</v>
      </c>
      <c r="B787" t="s">
        <v>1199</v>
      </c>
      <c r="C787" t="s">
        <v>1283</v>
      </c>
      <c r="D787" t="s">
        <v>1284</v>
      </c>
      <c r="E787" t="s">
        <v>1266</v>
      </c>
      <c r="F787" t="s">
        <v>299</v>
      </c>
      <c r="G787">
        <v>20</v>
      </c>
      <c r="H787">
        <v>8</v>
      </c>
      <c r="I787">
        <v>63</v>
      </c>
      <c r="J787">
        <v>57</v>
      </c>
      <c r="K787">
        <v>10</v>
      </c>
      <c r="L787">
        <v>17</v>
      </c>
      <c r="M787">
        <v>24</v>
      </c>
      <c r="N787" t="s">
        <v>196</v>
      </c>
      <c r="O787" t="s">
        <v>1143</v>
      </c>
      <c r="P787" t="s">
        <v>228</v>
      </c>
      <c r="Q787" t="s">
        <v>295</v>
      </c>
      <c r="R787" t="s">
        <v>1189</v>
      </c>
      <c r="S787">
        <v>57</v>
      </c>
      <c r="T787">
        <v>90</v>
      </c>
      <c r="U787">
        <f t="shared" si="51"/>
        <v>-7.17265924212741</v>
      </c>
      <c r="V787">
        <f t="shared" si="52"/>
        <v>-862.720620895767</v>
      </c>
      <c r="W787">
        <f t="shared" si="53"/>
        <v>-7172.65924212741</v>
      </c>
      <c r="X787">
        <f t="shared" si="49"/>
        <v>-2.94443897916644</v>
      </c>
      <c r="Y787">
        <v>20</v>
      </c>
    </row>
    <row r="788" spans="1:25">
      <c r="A788" s="1">
        <v>869</v>
      </c>
      <c r="B788" t="s">
        <v>1199</v>
      </c>
      <c r="C788" t="s">
        <v>1285</v>
      </c>
      <c r="D788" t="s">
        <v>1286</v>
      </c>
      <c r="E788" t="s">
        <v>1266</v>
      </c>
      <c r="F788" t="s">
        <v>299</v>
      </c>
      <c r="G788">
        <v>20</v>
      </c>
      <c r="H788">
        <v>8</v>
      </c>
      <c r="I788">
        <v>63</v>
      </c>
      <c r="J788">
        <v>57</v>
      </c>
      <c r="K788">
        <v>10</v>
      </c>
      <c r="L788">
        <v>17</v>
      </c>
      <c r="M788">
        <v>24</v>
      </c>
      <c r="N788" t="s">
        <v>196</v>
      </c>
      <c r="O788" t="s">
        <v>1143</v>
      </c>
      <c r="P788" t="s">
        <v>228</v>
      </c>
      <c r="Q788" t="s">
        <v>295</v>
      </c>
      <c r="R788" t="s">
        <v>1189</v>
      </c>
      <c r="S788">
        <v>65</v>
      </c>
      <c r="T788">
        <v>92</v>
      </c>
      <c r="U788">
        <f t="shared" si="51"/>
        <v>-7.74174548683526</v>
      </c>
      <c r="V788">
        <f t="shared" si="52"/>
        <v>-931.169772291948</v>
      </c>
      <c r="W788">
        <f t="shared" si="53"/>
        <v>-7741.74548683526</v>
      </c>
      <c r="X788">
        <f t="shared" si="49"/>
        <v>-3.17805383034795</v>
      </c>
      <c r="Y788">
        <v>20</v>
      </c>
    </row>
    <row r="789" spans="1:25">
      <c r="A789" s="1">
        <v>870</v>
      </c>
      <c r="B789" t="s">
        <v>1199</v>
      </c>
      <c r="C789" t="s">
        <v>1287</v>
      </c>
      <c r="D789" t="s">
        <v>1288</v>
      </c>
      <c r="E789" t="s">
        <v>1266</v>
      </c>
      <c r="F789" t="s">
        <v>299</v>
      </c>
      <c r="G789">
        <v>20</v>
      </c>
      <c r="H789">
        <v>8</v>
      </c>
      <c r="I789">
        <v>63</v>
      </c>
      <c r="J789">
        <v>57</v>
      </c>
      <c r="K789">
        <v>10</v>
      </c>
      <c r="L789">
        <v>17</v>
      </c>
      <c r="M789">
        <v>24</v>
      </c>
      <c r="N789" t="s">
        <v>196</v>
      </c>
      <c r="O789" t="s">
        <v>1143</v>
      </c>
      <c r="P789" t="s">
        <v>228</v>
      </c>
      <c r="Q789" t="s">
        <v>295</v>
      </c>
      <c r="R789" t="s">
        <v>1189</v>
      </c>
      <c r="S789">
        <v>48</v>
      </c>
      <c r="T789">
        <v>94</v>
      </c>
      <c r="U789">
        <f t="shared" si="51"/>
        <v>-8.46778336063611</v>
      </c>
      <c r="V789">
        <f t="shared" si="52"/>
        <v>-1018.49691612174</v>
      </c>
      <c r="W789">
        <f t="shared" si="53"/>
        <v>-8467.78336063611</v>
      </c>
      <c r="X789">
        <f t="shared" si="49"/>
        <v>-3.47609868983527</v>
      </c>
      <c r="Y789">
        <v>20</v>
      </c>
    </row>
    <row r="790" spans="1:25">
      <c r="A790" s="1">
        <v>871</v>
      </c>
      <c r="B790" t="s">
        <v>1199</v>
      </c>
      <c r="C790" t="s">
        <v>1289</v>
      </c>
      <c r="D790" t="s">
        <v>1290</v>
      </c>
      <c r="E790" t="s">
        <v>1266</v>
      </c>
      <c r="F790" t="s">
        <v>299</v>
      </c>
      <c r="G790">
        <v>20</v>
      </c>
      <c r="H790">
        <v>8</v>
      </c>
      <c r="I790">
        <v>63</v>
      </c>
      <c r="J790">
        <v>57</v>
      </c>
      <c r="K790">
        <v>10</v>
      </c>
      <c r="L790">
        <v>17</v>
      </c>
      <c r="M790">
        <v>24</v>
      </c>
      <c r="N790" t="s">
        <v>196</v>
      </c>
      <c r="O790" t="s">
        <v>1143</v>
      </c>
      <c r="P790" t="s">
        <v>228</v>
      </c>
      <c r="Q790" t="s">
        <v>295</v>
      </c>
      <c r="R790" t="s">
        <v>1189</v>
      </c>
      <c r="S790">
        <v>67</v>
      </c>
      <c r="T790">
        <v>94</v>
      </c>
      <c r="U790">
        <f t="shared" si="51"/>
        <v>-8.46778336063611</v>
      </c>
      <c r="V790">
        <f t="shared" si="52"/>
        <v>-1018.49691612174</v>
      </c>
      <c r="W790">
        <f t="shared" si="53"/>
        <v>-8467.78336063611</v>
      </c>
      <c r="X790">
        <f t="shared" si="49"/>
        <v>-3.47609868983527</v>
      </c>
      <c r="Y790">
        <v>20</v>
      </c>
    </row>
    <row r="791" spans="1:25">
      <c r="A791" s="1">
        <v>872</v>
      </c>
      <c r="B791" t="s">
        <v>1199</v>
      </c>
      <c r="C791" t="s">
        <v>1291</v>
      </c>
      <c r="D791" t="s">
        <v>1290</v>
      </c>
      <c r="E791" t="s">
        <v>1292</v>
      </c>
      <c r="F791" t="s">
        <v>299</v>
      </c>
      <c r="G791">
        <v>20</v>
      </c>
      <c r="H791">
        <v>8</v>
      </c>
      <c r="I791">
        <v>63</v>
      </c>
      <c r="J791">
        <v>57</v>
      </c>
      <c r="K791">
        <v>10</v>
      </c>
      <c r="L791">
        <v>17</v>
      </c>
      <c r="M791">
        <v>24</v>
      </c>
      <c r="N791" t="s">
        <v>196</v>
      </c>
      <c r="O791" t="s">
        <v>1143</v>
      </c>
      <c r="P791" t="s">
        <v>228</v>
      </c>
      <c r="Q791" t="s">
        <v>295</v>
      </c>
      <c r="R791" t="s">
        <v>1189</v>
      </c>
      <c r="S791">
        <v>72</v>
      </c>
      <c r="T791">
        <v>91</v>
      </c>
      <c r="U791">
        <f t="shared" si="51"/>
        <v>-7.44210511042826</v>
      </c>
      <c r="V791">
        <f t="shared" si="52"/>
        <v>-895.12931325815</v>
      </c>
      <c r="W791">
        <f t="shared" si="53"/>
        <v>-7442.10511042826</v>
      </c>
      <c r="X791">
        <f t="shared" si="49"/>
        <v>-3.05504885071041</v>
      </c>
      <c r="Y791">
        <v>20</v>
      </c>
    </row>
    <row r="792" spans="1:25">
      <c r="A792" s="1">
        <v>873</v>
      </c>
      <c r="B792" t="s">
        <v>1199</v>
      </c>
      <c r="C792" t="s">
        <v>1293</v>
      </c>
      <c r="D792" t="s">
        <v>1290</v>
      </c>
      <c r="E792" t="s">
        <v>1266</v>
      </c>
      <c r="F792" t="s">
        <v>299</v>
      </c>
      <c r="G792">
        <v>20</v>
      </c>
      <c r="H792">
        <v>8</v>
      </c>
      <c r="I792">
        <v>63</v>
      </c>
      <c r="J792">
        <v>57</v>
      </c>
      <c r="K792">
        <v>10</v>
      </c>
      <c r="L792">
        <v>17</v>
      </c>
      <c r="M792">
        <v>24</v>
      </c>
      <c r="N792" t="s">
        <v>196</v>
      </c>
      <c r="O792" t="s">
        <v>1143</v>
      </c>
      <c r="P792" t="s">
        <v>228</v>
      </c>
      <c r="Q792" t="s">
        <v>295</v>
      </c>
      <c r="R792" t="s">
        <v>1189</v>
      </c>
      <c r="S792">
        <v>81</v>
      </c>
      <c r="T792">
        <v>87</v>
      </c>
      <c r="U792">
        <f t="shared" si="51"/>
        <v>-6.49476928819999</v>
      </c>
      <c r="V792">
        <f t="shared" si="52"/>
        <v>-781.184663002164</v>
      </c>
      <c r="W792">
        <f t="shared" si="53"/>
        <v>-6494.76928819999</v>
      </c>
      <c r="X792">
        <f t="shared" si="49"/>
        <v>-2.66615925939305</v>
      </c>
      <c r="Y792">
        <v>20</v>
      </c>
    </row>
    <row r="793" spans="1:25">
      <c r="A793" s="1">
        <v>874</v>
      </c>
      <c r="B793" t="s">
        <v>1199</v>
      </c>
      <c r="C793" t="s">
        <v>1294</v>
      </c>
      <c r="D793" t="s">
        <v>1290</v>
      </c>
      <c r="E793" t="s">
        <v>1292</v>
      </c>
      <c r="F793" t="s">
        <v>299</v>
      </c>
      <c r="G793">
        <v>20</v>
      </c>
      <c r="H793">
        <v>8</v>
      </c>
      <c r="I793">
        <v>63</v>
      </c>
      <c r="J793">
        <v>57</v>
      </c>
      <c r="K793">
        <v>10</v>
      </c>
      <c r="L793">
        <v>17</v>
      </c>
      <c r="M793">
        <v>24</v>
      </c>
      <c r="N793" t="s">
        <v>196</v>
      </c>
      <c r="O793" t="s">
        <v>1143</v>
      </c>
      <c r="P793" t="s">
        <v>228</v>
      </c>
      <c r="Q793" t="s">
        <v>295</v>
      </c>
      <c r="R793" t="s">
        <v>1189</v>
      </c>
      <c r="S793">
        <v>77</v>
      </c>
      <c r="T793">
        <v>90</v>
      </c>
      <c r="U793">
        <f t="shared" si="51"/>
        <v>-7.17265924212741</v>
      </c>
      <c r="V793">
        <f t="shared" si="52"/>
        <v>-862.720620895767</v>
      </c>
      <c r="W793">
        <f t="shared" si="53"/>
        <v>-7172.65924212741</v>
      </c>
      <c r="X793">
        <f t="shared" si="49"/>
        <v>-2.94443897916644</v>
      </c>
      <c r="Y793">
        <v>20</v>
      </c>
    </row>
    <row r="794" spans="1:25">
      <c r="A794" s="1">
        <v>875</v>
      </c>
      <c r="B794" t="s">
        <v>1199</v>
      </c>
      <c r="C794" t="s">
        <v>1295</v>
      </c>
      <c r="D794" t="s">
        <v>1296</v>
      </c>
      <c r="E794" t="s">
        <v>1266</v>
      </c>
      <c r="F794" t="s">
        <v>299</v>
      </c>
      <c r="G794">
        <v>20</v>
      </c>
      <c r="H794">
        <v>8</v>
      </c>
      <c r="I794">
        <v>63</v>
      </c>
      <c r="J794">
        <v>38</v>
      </c>
      <c r="K794">
        <v>9</v>
      </c>
      <c r="L794">
        <v>17</v>
      </c>
      <c r="M794">
        <v>24</v>
      </c>
      <c r="N794" t="s">
        <v>196</v>
      </c>
      <c r="O794" t="s">
        <v>1190</v>
      </c>
      <c r="P794" t="s">
        <v>511</v>
      </c>
      <c r="Q794" t="s">
        <v>295</v>
      </c>
      <c r="R794" t="s">
        <v>1189</v>
      </c>
      <c r="S794">
        <v>83</v>
      </c>
      <c r="T794">
        <v>70</v>
      </c>
      <c r="U794">
        <f t="shared" si="51"/>
        <v>-4.22549164012754</v>
      </c>
      <c r="V794">
        <f t="shared" si="52"/>
        <v>-508.238109228715</v>
      </c>
      <c r="W794">
        <f t="shared" si="53"/>
        <v>-4225.49164012754</v>
      </c>
      <c r="X794">
        <f t="shared" si="49"/>
        <v>-1.73460105538811</v>
      </c>
      <c r="Y794">
        <v>20</v>
      </c>
    </row>
    <row r="795" spans="1:25">
      <c r="A795" s="1">
        <v>876</v>
      </c>
      <c r="B795" t="s">
        <v>1297</v>
      </c>
      <c r="C795" t="s">
        <v>1295</v>
      </c>
      <c r="D795" t="s">
        <v>1296</v>
      </c>
      <c r="E795" t="s">
        <v>1266</v>
      </c>
      <c r="F795" t="s">
        <v>299</v>
      </c>
      <c r="G795">
        <v>20</v>
      </c>
      <c r="H795">
        <v>8</v>
      </c>
      <c r="I795">
        <v>31</v>
      </c>
      <c r="J795">
        <v>38</v>
      </c>
      <c r="K795">
        <v>9</v>
      </c>
      <c r="L795">
        <v>17</v>
      </c>
      <c r="M795">
        <v>24</v>
      </c>
      <c r="N795" t="s">
        <v>394</v>
      </c>
      <c r="O795" t="s">
        <v>1190</v>
      </c>
      <c r="P795" t="s">
        <v>511</v>
      </c>
      <c r="Q795" t="s">
        <v>295</v>
      </c>
      <c r="R795" t="s">
        <v>1189</v>
      </c>
      <c r="S795">
        <v>82</v>
      </c>
      <c r="T795">
        <v>82</v>
      </c>
      <c r="U795">
        <f t="shared" si="51"/>
        <v>-5.63601931475388</v>
      </c>
      <c r="V795">
        <f t="shared" si="52"/>
        <v>-677.895034249925</v>
      </c>
      <c r="W795">
        <f t="shared" si="53"/>
        <v>-5636.01931475388</v>
      </c>
      <c r="X795">
        <f t="shared" si="49"/>
        <v>-2.31363492918063</v>
      </c>
      <c r="Y795">
        <v>20</v>
      </c>
    </row>
    <row r="796" spans="1:25">
      <c r="A796" s="1">
        <v>877</v>
      </c>
      <c r="B796" t="s">
        <v>1199</v>
      </c>
      <c r="C796" t="s">
        <v>1298</v>
      </c>
      <c r="D796" t="s">
        <v>1299</v>
      </c>
      <c r="E796" t="s">
        <v>1266</v>
      </c>
      <c r="F796" t="s">
        <v>299</v>
      </c>
      <c r="G796">
        <v>10</v>
      </c>
      <c r="H796">
        <v>8</v>
      </c>
      <c r="I796">
        <v>31</v>
      </c>
      <c r="J796">
        <v>45</v>
      </c>
      <c r="K796">
        <v>10</v>
      </c>
      <c r="L796">
        <v>17</v>
      </c>
      <c r="M796">
        <v>24</v>
      </c>
      <c r="N796" t="s">
        <v>394</v>
      </c>
      <c r="O796" t="s">
        <v>30</v>
      </c>
      <c r="P796" t="s">
        <v>228</v>
      </c>
      <c r="Q796" t="s">
        <v>295</v>
      </c>
      <c r="R796" t="s">
        <v>1189</v>
      </c>
      <c r="S796">
        <v>35</v>
      </c>
      <c r="T796">
        <v>87</v>
      </c>
      <c r="U796">
        <f t="shared" si="51"/>
        <v>-6.27310480737405</v>
      </c>
      <c r="V796">
        <f t="shared" si="52"/>
        <v>-754.523070408233</v>
      </c>
      <c r="W796">
        <f t="shared" si="53"/>
        <v>-6273.10480737405</v>
      </c>
      <c r="X796">
        <f t="shared" si="49"/>
        <v>-2.66615925939305</v>
      </c>
      <c r="Y796">
        <v>10</v>
      </c>
    </row>
    <row r="797" spans="1:25">
      <c r="A797" s="1">
        <v>878</v>
      </c>
      <c r="B797" t="s">
        <v>1199</v>
      </c>
      <c r="C797" t="s">
        <v>1300</v>
      </c>
      <c r="D797" t="s">
        <v>1301</v>
      </c>
      <c r="E797" t="s">
        <v>1292</v>
      </c>
      <c r="F797" t="s">
        <v>299</v>
      </c>
      <c r="G797">
        <v>10</v>
      </c>
      <c r="H797">
        <v>8</v>
      </c>
      <c r="I797">
        <v>31</v>
      </c>
      <c r="J797">
        <v>45</v>
      </c>
      <c r="K797">
        <v>10</v>
      </c>
      <c r="L797">
        <v>17</v>
      </c>
      <c r="M797">
        <v>24</v>
      </c>
      <c r="N797" t="s">
        <v>394</v>
      </c>
      <c r="O797" t="s">
        <v>30</v>
      </c>
      <c r="P797" t="s">
        <v>228</v>
      </c>
      <c r="Q797" t="s">
        <v>295</v>
      </c>
      <c r="R797" t="s">
        <v>1189</v>
      </c>
      <c r="S797">
        <v>61</v>
      </c>
      <c r="T797">
        <v>95</v>
      </c>
      <c r="U797">
        <f t="shared" si="51"/>
        <v>-8.61985498183589</v>
      </c>
      <c r="V797">
        <f t="shared" si="52"/>
        <v>-1036.78794585469</v>
      </c>
      <c r="W797">
        <f t="shared" si="53"/>
        <v>-8619.85498183589</v>
      </c>
      <c r="X797">
        <f t="shared" si="49"/>
        <v>-3.66356164612965</v>
      </c>
      <c r="Y797">
        <v>10</v>
      </c>
    </row>
    <row r="798" spans="1:25">
      <c r="A798" s="1">
        <v>879</v>
      </c>
      <c r="B798" t="s">
        <v>1199</v>
      </c>
      <c r="C798" t="s">
        <v>1302</v>
      </c>
      <c r="D798" t="s">
        <v>1303</v>
      </c>
      <c r="E798" t="s">
        <v>1292</v>
      </c>
      <c r="F798" t="s">
        <v>299</v>
      </c>
      <c r="G798">
        <v>10</v>
      </c>
      <c r="H798">
        <v>8</v>
      </c>
      <c r="I798">
        <v>31</v>
      </c>
      <c r="J798">
        <v>45</v>
      </c>
      <c r="K798">
        <v>10</v>
      </c>
      <c r="L798">
        <v>17</v>
      </c>
      <c r="M798">
        <v>24</v>
      </c>
      <c r="N798" t="s">
        <v>394</v>
      </c>
      <c r="O798" t="s">
        <v>30</v>
      </c>
      <c r="P798" t="s">
        <v>228</v>
      </c>
      <c r="Q798" t="s">
        <v>295</v>
      </c>
      <c r="R798" t="s">
        <v>1189</v>
      </c>
      <c r="S798">
        <v>66</v>
      </c>
      <c r="T798">
        <v>97</v>
      </c>
      <c r="U798">
        <f t="shared" si="51"/>
        <v>-9.84576618486569</v>
      </c>
      <c r="V798">
        <f t="shared" si="52"/>
        <v>-1184.23937753978</v>
      </c>
      <c r="W798">
        <f t="shared" si="53"/>
        <v>-9845.76618486569</v>
      </c>
      <c r="X798">
        <f t="shared" si="49"/>
        <v>-4.18459144006988</v>
      </c>
      <c r="Y798">
        <v>10</v>
      </c>
    </row>
    <row r="799" spans="1:25">
      <c r="A799" s="1">
        <v>880</v>
      </c>
      <c r="B799" t="s">
        <v>1199</v>
      </c>
      <c r="C799" t="s">
        <v>1304</v>
      </c>
      <c r="D799" t="s">
        <v>1305</v>
      </c>
      <c r="E799" t="s">
        <v>1292</v>
      </c>
      <c r="F799" t="s">
        <v>299</v>
      </c>
      <c r="G799">
        <v>10</v>
      </c>
      <c r="H799">
        <v>8</v>
      </c>
      <c r="I799">
        <v>31</v>
      </c>
      <c r="J799">
        <v>45</v>
      </c>
      <c r="K799">
        <v>10</v>
      </c>
      <c r="L799">
        <v>17</v>
      </c>
      <c r="M799">
        <v>24</v>
      </c>
      <c r="N799" t="s">
        <v>394</v>
      </c>
      <c r="O799" t="s">
        <v>30</v>
      </c>
      <c r="P799" t="s">
        <v>228</v>
      </c>
      <c r="Q799" t="s">
        <v>295</v>
      </c>
      <c r="R799" t="s">
        <v>1189</v>
      </c>
      <c r="S799">
        <v>63</v>
      </c>
      <c r="T799">
        <v>97</v>
      </c>
      <c r="U799">
        <f t="shared" si="51"/>
        <v>-9.84576618486569</v>
      </c>
      <c r="V799">
        <f t="shared" si="52"/>
        <v>-1184.23937753978</v>
      </c>
      <c r="W799">
        <f t="shared" si="53"/>
        <v>-9845.76618486569</v>
      </c>
      <c r="X799">
        <f t="shared" si="49"/>
        <v>-4.18459144006988</v>
      </c>
      <c r="Y799">
        <v>10</v>
      </c>
    </row>
    <row r="800" spans="1:25">
      <c r="A800" s="1">
        <v>881</v>
      </c>
      <c r="B800" t="s">
        <v>1199</v>
      </c>
      <c r="C800" t="s">
        <v>1306</v>
      </c>
      <c r="D800" t="s">
        <v>1303</v>
      </c>
      <c r="E800" t="s">
        <v>1235</v>
      </c>
      <c r="F800" t="s">
        <v>299</v>
      </c>
      <c r="G800">
        <v>10</v>
      </c>
      <c r="H800">
        <v>8</v>
      </c>
      <c r="I800">
        <v>31</v>
      </c>
      <c r="J800">
        <v>45</v>
      </c>
      <c r="K800">
        <v>10</v>
      </c>
      <c r="L800">
        <v>17</v>
      </c>
      <c r="M800">
        <v>24</v>
      </c>
      <c r="N800" t="s">
        <v>394</v>
      </c>
      <c r="O800" t="s">
        <v>30</v>
      </c>
      <c r="P800" t="s">
        <v>228</v>
      </c>
      <c r="Q800" t="s">
        <v>295</v>
      </c>
      <c r="R800" t="s">
        <v>1189</v>
      </c>
      <c r="S800">
        <v>64</v>
      </c>
      <c r="T800">
        <v>95</v>
      </c>
      <c r="U800">
        <f t="shared" si="51"/>
        <v>-8.61985498183589</v>
      </c>
      <c r="V800">
        <f t="shared" si="52"/>
        <v>-1036.78794585469</v>
      </c>
      <c r="W800">
        <f t="shared" si="53"/>
        <v>-8619.85498183589</v>
      </c>
      <c r="X800">
        <f t="shared" si="49"/>
        <v>-3.66356164612965</v>
      </c>
      <c r="Y800">
        <v>10</v>
      </c>
    </row>
    <row r="801" spans="1:25">
      <c r="A801" s="1">
        <v>882</v>
      </c>
      <c r="B801" t="s">
        <v>1199</v>
      </c>
      <c r="C801" t="s">
        <v>1307</v>
      </c>
      <c r="D801" t="s">
        <v>1303</v>
      </c>
      <c r="E801" t="s">
        <v>1266</v>
      </c>
      <c r="F801" t="s">
        <v>299</v>
      </c>
      <c r="G801">
        <v>10</v>
      </c>
      <c r="H801">
        <v>8</v>
      </c>
      <c r="I801">
        <v>31</v>
      </c>
      <c r="J801">
        <v>45</v>
      </c>
      <c r="K801">
        <v>10</v>
      </c>
      <c r="L801">
        <v>17</v>
      </c>
      <c r="M801">
        <v>24</v>
      </c>
      <c r="N801" t="s">
        <v>394</v>
      </c>
      <c r="O801" t="s">
        <v>30</v>
      </c>
      <c r="P801" t="s">
        <v>228</v>
      </c>
      <c r="Q801" t="s">
        <v>295</v>
      </c>
      <c r="R801" t="s">
        <v>1189</v>
      </c>
      <c r="S801">
        <v>78</v>
      </c>
      <c r="T801">
        <v>93</v>
      </c>
      <c r="U801">
        <f t="shared" si="51"/>
        <v>-7.80392571812055</v>
      </c>
      <c r="V801">
        <f t="shared" si="52"/>
        <v>-938.648751277429</v>
      </c>
      <c r="W801">
        <f t="shared" si="53"/>
        <v>-7803.92571812055</v>
      </c>
      <c r="X801">
        <f t="shared" si="49"/>
        <v>-3.31678003984957</v>
      </c>
      <c r="Y801">
        <v>10</v>
      </c>
    </row>
    <row r="802" spans="1:25">
      <c r="A802" s="1">
        <v>883</v>
      </c>
      <c r="B802" t="s">
        <v>1199</v>
      </c>
      <c r="C802" t="s">
        <v>1308</v>
      </c>
      <c r="D802" t="s">
        <v>1303</v>
      </c>
      <c r="E802" t="s">
        <v>1309</v>
      </c>
      <c r="F802" t="s">
        <v>299</v>
      </c>
      <c r="G802">
        <v>10</v>
      </c>
      <c r="H802">
        <v>8</v>
      </c>
      <c r="I802">
        <v>31</v>
      </c>
      <c r="J802">
        <v>45</v>
      </c>
      <c r="K802">
        <v>10</v>
      </c>
      <c r="L802">
        <v>17</v>
      </c>
      <c r="M802">
        <v>24</v>
      </c>
      <c r="N802" t="s">
        <v>394</v>
      </c>
      <c r="O802" t="s">
        <v>30</v>
      </c>
      <c r="P802" t="s">
        <v>228</v>
      </c>
      <c r="Q802" t="s">
        <v>295</v>
      </c>
      <c r="R802" t="s">
        <v>1189</v>
      </c>
      <c r="S802">
        <v>55</v>
      </c>
      <c r="T802">
        <v>95</v>
      </c>
      <c r="U802">
        <f t="shared" si="51"/>
        <v>-8.61985498183589</v>
      </c>
      <c r="V802">
        <f t="shared" si="52"/>
        <v>-1036.78794585469</v>
      </c>
      <c r="W802">
        <f t="shared" si="53"/>
        <v>-8619.85498183589</v>
      </c>
      <c r="X802">
        <f t="shared" si="49"/>
        <v>-3.66356164612965</v>
      </c>
      <c r="Y802">
        <v>10</v>
      </c>
    </row>
    <row r="803" spans="1:25">
      <c r="A803" s="1">
        <v>884</v>
      </c>
      <c r="B803" t="s">
        <v>1310</v>
      </c>
      <c r="C803" t="s">
        <v>1186</v>
      </c>
      <c r="D803" t="s">
        <v>1187</v>
      </c>
      <c r="E803" t="s">
        <v>1188</v>
      </c>
      <c r="F803" t="s">
        <v>299</v>
      </c>
      <c r="G803">
        <v>20</v>
      </c>
      <c r="H803">
        <v>8</v>
      </c>
      <c r="I803">
        <v>63</v>
      </c>
      <c r="J803">
        <v>57</v>
      </c>
      <c r="K803">
        <v>10</v>
      </c>
      <c r="L803">
        <v>17</v>
      </c>
      <c r="M803">
        <v>24</v>
      </c>
      <c r="N803" t="s">
        <v>196</v>
      </c>
      <c r="O803" t="s">
        <v>1143</v>
      </c>
      <c r="P803" t="s">
        <v>228</v>
      </c>
      <c r="Q803" t="s">
        <v>295</v>
      </c>
      <c r="R803" t="s">
        <v>1189</v>
      </c>
      <c r="S803">
        <v>78</v>
      </c>
      <c r="T803">
        <v>92</v>
      </c>
      <c r="U803">
        <f t="shared" si="51"/>
        <v>-7.74174548683526</v>
      </c>
      <c r="V803">
        <f t="shared" si="52"/>
        <v>-931.169772291948</v>
      </c>
      <c r="W803">
        <f t="shared" si="53"/>
        <v>-7741.74548683526</v>
      </c>
      <c r="X803">
        <f t="shared" si="49"/>
        <v>-3.17805383034795</v>
      </c>
      <c r="Y803">
        <v>20</v>
      </c>
    </row>
    <row r="804" spans="1:25">
      <c r="A804" s="1">
        <v>885</v>
      </c>
      <c r="B804" t="s">
        <v>1311</v>
      </c>
      <c r="C804" t="s">
        <v>1186</v>
      </c>
      <c r="D804" t="s">
        <v>1187</v>
      </c>
      <c r="E804" t="s">
        <v>1188</v>
      </c>
      <c r="F804" t="s">
        <v>299</v>
      </c>
      <c r="G804">
        <v>20</v>
      </c>
      <c r="H804">
        <v>8</v>
      </c>
      <c r="I804">
        <v>63</v>
      </c>
      <c r="J804">
        <v>57</v>
      </c>
      <c r="K804">
        <v>10</v>
      </c>
      <c r="L804">
        <v>17</v>
      </c>
      <c r="M804">
        <v>24</v>
      </c>
      <c r="N804" t="s">
        <v>196</v>
      </c>
      <c r="O804" t="s">
        <v>1143</v>
      </c>
      <c r="P804" t="s">
        <v>228</v>
      </c>
      <c r="Q804" t="s">
        <v>295</v>
      </c>
      <c r="R804" t="s">
        <v>1189</v>
      </c>
      <c r="S804">
        <v>9</v>
      </c>
      <c r="T804">
        <v>29</v>
      </c>
      <c r="U804">
        <f t="shared" si="51"/>
        <v>-1.45461603081744</v>
      </c>
      <c r="V804">
        <f t="shared" si="52"/>
        <v>-174.959830504865</v>
      </c>
      <c r="W804">
        <f t="shared" si="53"/>
        <v>-1454.61603081744</v>
      </c>
      <c r="X804">
        <f t="shared" si="49"/>
        <v>-0.597132527320357</v>
      </c>
      <c r="Y804">
        <v>20</v>
      </c>
    </row>
    <row r="805" spans="1:25">
      <c r="A805" s="1">
        <v>891</v>
      </c>
      <c r="B805" t="s">
        <v>1199</v>
      </c>
      <c r="C805" t="s">
        <v>1186</v>
      </c>
      <c r="D805" t="s">
        <v>1187</v>
      </c>
      <c r="E805" t="s">
        <v>1188</v>
      </c>
      <c r="F805" t="s">
        <v>299</v>
      </c>
      <c r="G805">
        <v>20</v>
      </c>
      <c r="H805">
        <v>8</v>
      </c>
      <c r="I805">
        <v>63</v>
      </c>
      <c r="J805">
        <v>29</v>
      </c>
      <c r="K805">
        <v>10</v>
      </c>
      <c r="L805">
        <v>17</v>
      </c>
      <c r="M805">
        <v>24</v>
      </c>
      <c r="N805" t="s">
        <v>196</v>
      </c>
      <c r="O805" t="s">
        <v>774</v>
      </c>
      <c r="P805" t="s">
        <v>228</v>
      </c>
      <c r="Q805" t="s">
        <v>295</v>
      </c>
      <c r="R805" t="s">
        <v>1189</v>
      </c>
      <c r="S805">
        <v>71</v>
      </c>
      <c r="T805">
        <v>86</v>
      </c>
      <c r="U805">
        <f t="shared" si="51"/>
        <v>-6.30118041560128</v>
      </c>
      <c r="V805">
        <f t="shared" si="52"/>
        <v>-757.899977820697</v>
      </c>
      <c r="W805">
        <f t="shared" si="53"/>
        <v>-6301.18041560128</v>
      </c>
      <c r="X805">
        <f t="shared" si="49"/>
        <v>-2.58668934409794</v>
      </c>
      <c r="Y805">
        <v>20</v>
      </c>
    </row>
    <row r="806" spans="1:25">
      <c r="A806" s="1">
        <v>892</v>
      </c>
      <c r="B806" t="s">
        <v>1199</v>
      </c>
      <c r="C806" t="s">
        <v>1186</v>
      </c>
      <c r="D806" t="s">
        <v>1187</v>
      </c>
      <c r="E806" t="s">
        <v>1188</v>
      </c>
      <c r="F806" t="s">
        <v>299</v>
      </c>
      <c r="G806">
        <v>20</v>
      </c>
      <c r="H806">
        <v>8</v>
      </c>
      <c r="I806">
        <v>63</v>
      </c>
      <c r="J806">
        <v>59</v>
      </c>
      <c r="K806">
        <v>10</v>
      </c>
      <c r="L806">
        <v>17</v>
      </c>
      <c r="M806">
        <v>24</v>
      </c>
      <c r="N806" t="s">
        <v>196</v>
      </c>
      <c r="O806" t="s">
        <v>883</v>
      </c>
      <c r="P806" t="s">
        <v>228</v>
      </c>
      <c r="Q806" t="s">
        <v>295</v>
      </c>
      <c r="R806" t="s">
        <v>1189</v>
      </c>
      <c r="S806">
        <v>60</v>
      </c>
      <c r="T806">
        <v>89</v>
      </c>
      <c r="U806">
        <f t="shared" si="51"/>
        <v>-6.92762853185194</v>
      </c>
      <c r="V806">
        <f t="shared" si="52"/>
        <v>-833.248560482553</v>
      </c>
      <c r="W806">
        <f t="shared" si="53"/>
        <v>-6927.62853185194</v>
      </c>
      <c r="X806">
        <f t="shared" si="49"/>
        <v>-2.84385174226127</v>
      </c>
      <c r="Y806">
        <v>20</v>
      </c>
    </row>
    <row r="807" spans="1:25">
      <c r="A807" s="1">
        <v>893</v>
      </c>
      <c r="B807" t="s">
        <v>1199</v>
      </c>
      <c r="C807" t="s">
        <v>1186</v>
      </c>
      <c r="D807" t="s">
        <v>1187</v>
      </c>
      <c r="E807" t="s">
        <v>1188</v>
      </c>
      <c r="F807" t="s">
        <v>299</v>
      </c>
      <c r="G807">
        <v>20</v>
      </c>
      <c r="H807">
        <v>8</v>
      </c>
      <c r="I807">
        <v>63</v>
      </c>
      <c r="J807">
        <v>40</v>
      </c>
      <c r="K807">
        <v>10</v>
      </c>
      <c r="L807">
        <v>17</v>
      </c>
      <c r="M807">
        <v>24</v>
      </c>
      <c r="N807" t="s">
        <v>196</v>
      </c>
      <c r="O807" t="s">
        <v>1312</v>
      </c>
      <c r="P807" t="s">
        <v>228</v>
      </c>
      <c r="Q807" t="s">
        <v>295</v>
      </c>
      <c r="R807" t="s">
        <v>1189</v>
      </c>
      <c r="S807">
        <v>61</v>
      </c>
      <c r="T807">
        <v>86</v>
      </c>
      <c r="U807">
        <f t="shared" si="51"/>
        <v>-6.30118041560128</v>
      </c>
      <c r="V807">
        <f t="shared" si="52"/>
        <v>-757.899977820697</v>
      </c>
      <c r="W807">
        <f t="shared" si="53"/>
        <v>-6301.18041560128</v>
      </c>
      <c r="X807">
        <f t="shared" si="49"/>
        <v>-2.58668934409794</v>
      </c>
      <c r="Y807">
        <v>20</v>
      </c>
    </row>
    <row r="808" spans="1:25">
      <c r="A808" s="1">
        <v>894</v>
      </c>
      <c r="B808" t="s">
        <v>1199</v>
      </c>
      <c r="C808" t="s">
        <v>1186</v>
      </c>
      <c r="D808" t="s">
        <v>1187</v>
      </c>
      <c r="E808" t="s">
        <v>1188</v>
      </c>
      <c r="F808" t="s">
        <v>299</v>
      </c>
      <c r="G808">
        <v>20</v>
      </c>
      <c r="H808">
        <v>8</v>
      </c>
      <c r="I808">
        <v>63</v>
      </c>
      <c r="J808">
        <v>10</v>
      </c>
      <c r="K808">
        <v>10</v>
      </c>
      <c r="L808">
        <v>17</v>
      </c>
      <c r="M808">
        <v>24</v>
      </c>
      <c r="N808" t="s">
        <v>196</v>
      </c>
      <c r="O808" t="s">
        <v>702</v>
      </c>
      <c r="P808" t="s">
        <v>228</v>
      </c>
      <c r="Q808" t="s">
        <v>295</v>
      </c>
      <c r="R808" t="s">
        <v>1189</v>
      </c>
      <c r="S808">
        <v>62</v>
      </c>
      <c r="T808">
        <v>89</v>
      </c>
      <c r="U808">
        <f t="shared" si="51"/>
        <v>-6.92762853185194</v>
      </c>
      <c r="V808">
        <f t="shared" si="52"/>
        <v>-833.248560482553</v>
      </c>
      <c r="W808">
        <f t="shared" si="53"/>
        <v>-6927.62853185194</v>
      </c>
      <c r="X808">
        <f t="shared" si="49"/>
        <v>-2.84385174226127</v>
      </c>
      <c r="Y808">
        <v>20</v>
      </c>
    </row>
    <row r="809" spans="1:25">
      <c r="A809" s="1">
        <v>898</v>
      </c>
      <c r="B809" t="s">
        <v>1313</v>
      </c>
      <c r="C809" t="s">
        <v>1314</v>
      </c>
      <c r="D809" t="s">
        <v>1315</v>
      </c>
      <c r="E809" t="s">
        <v>1316</v>
      </c>
      <c r="F809" t="s">
        <v>299</v>
      </c>
      <c r="G809">
        <v>20</v>
      </c>
      <c r="H809">
        <v>8</v>
      </c>
      <c r="I809">
        <v>2</v>
      </c>
      <c r="J809">
        <v>16</v>
      </c>
      <c r="K809">
        <v>10</v>
      </c>
      <c r="L809">
        <v>17</v>
      </c>
      <c r="M809">
        <v>24</v>
      </c>
      <c r="N809" t="s">
        <v>1138</v>
      </c>
      <c r="O809" t="s">
        <v>1317</v>
      </c>
      <c r="P809" t="s">
        <v>228</v>
      </c>
      <c r="Q809" t="s">
        <v>295</v>
      </c>
      <c r="R809" t="s">
        <v>1318</v>
      </c>
      <c r="S809">
        <v>69</v>
      </c>
      <c r="T809">
        <v>95</v>
      </c>
      <c r="U809">
        <f t="shared" si="51"/>
        <v>-8.92444349709512</v>
      </c>
      <c r="V809">
        <f t="shared" si="52"/>
        <v>-1073.42356231599</v>
      </c>
      <c r="W809">
        <f t="shared" si="53"/>
        <v>-8924.44349709512</v>
      </c>
      <c r="X809">
        <f t="shared" ref="X809:X872" si="54">-LN((1+T809*0.01)/(1-T809*0.01))</f>
        <v>-3.66356164612965</v>
      </c>
      <c r="Y809">
        <v>20</v>
      </c>
    </row>
    <row r="810" spans="1:25">
      <c r="A810" s="1">
        <v>899</v>
      </c>
      <c r="B810" t="s">
        <v>1313</v>
      </c>
      <c r="C810" t="s">
        <v>1314</v>
      </c>
      <c r="D810" t="s">
        <v>1315</v>
      </c>
      <c r="E810" t="s">
        <v>1316</v>
      </c>
      <c r="F810" t="s">
        <v>292</v>
      </c>
      <c r="G810">
        <v>20</v>
      </c>
      <c r="H810">
        <v>4</v>
      </c>
      <c r="I810">
        <v>2</v>
      </c>
      <c r="J810">
        <v>16</v>
      </c>
      <c r="K810">
        <v>10</v>
      </c>
      <c r="L810">
        <v>17</v>
      </c>
      <c r="M810">
        <v>24</v>
      </c>
      <c r="N810" t="s">
        <v>1138</v>
      </c>
      <c r="O810" t="s">
        <v>1317</v>
      </c>
      <c r="P810" t="s">
        <v>228</v>
      </c>
      <c r="Q810" t="s">
        <v>295</v>
      </c>
      <c r="R810" t="s">
        <v>1318</v>
      </c>
      <c r="S810">
        <v>19</v>
      </c>
      <c r="T810">
        <v>92</v>
      </c>
      <c r="U810">
        <f t="shared" si="51"/>
        <v>-7.74174548683526</v>
      </c>
      <c r="V810">
        <f t="shared" si="52"/>
        <v>-931.169772291948</v>
      </c>
      <c r="W810">
        <f t="shared" si="53"/>
        <v>-7741.74548683526</v>
      </c>
      <c r="X810">
        <f t="shared" si="54"/>
        <v>-3.17805383034795</v>
      </c>
      <c r="Y810">
        <v>20</v>
      </c>
    </row>
    <row r="811" spans="1:25">
      <c r="A811" s="1">
        <v>900</v>
      </c>
      <c r="B811" t="s">
        <v>1313</v>
      </c>
      <c r="C811" t="s">
        <v>1319</v>
      </c>
      <c r="D811" t="s">
        <v>1315</v>
      </c>
      <c r="E811" t="s">
        <v>1316</v>
      </c>
      <c r="F811" t="s">
        <v>292</v>
      </c>
      <c r="G811">
        <v>20</v>
      </c>
      <c r="H811">
        <v>4</v>
      </c>
      <c r="I811">
        <v>2</v>
      </c>
      <c r="J811">
        <v>16</v>
      </c>
      <c r="K811">
        <v>10</v>
      </c>
      <c r="L811">
        <v>17</v>
      </c>
      <c r="M811">
        <v>24</v>
      </c>
      <c r="N811" t="s">
        <v>1138</v>
      </c>
      <c r="O811" t="s">
        <v>1317</v>
      </c>
      <c r="P811" t="s">
        <v>228</v>
      </c>
      <c r="Q811" t="s">
        <v>295</v>
      </c>
      <c r="R811" t="s">
        <v>1318</v>
      </c>
      <c r="S811">
        <v>19</v>
      </c>
      <c r="T811">
        <v>73</v>
      </c>
      <c r="U811">
        <f t="shared" si="51"/>
        <v>-4.5247634335195</v>
      </c>
      <c r="V811">
        <f t="shared" si="52"/>
        <v>-544.234235448581</v>
      </c>
      <c r="W811">
        <f t="shared" si="53"/>
        <v>-4524.7634335195</v>
      </c>
      <c r="X811">
        <f t="shared" si="54"/>
        <v>-1.85745472849345</v>
      </c>
      <c r="Y811">
        <v>20</v>
      </c>
    </row>
    <row r="812" spans="1:25">
      <c r="A812" s="1">
        <v>901</v>
      </c>
      <c r="B812" t="s">
        <v>1313</v>
      </c>
      <c r="C812" t="s">
        <v>1314</v>
      </c>
      <c r="D812" t="s">
        <v>1315</v>
      </c>
      <c r="E812" t="s">
        <v>1316</v>
      </c>
      <c r="F812" t="s">
        <v>299</v>
      </c>
      <c r="G812">
        <v>20</v>
      </c>
      <c r="H812">
        <v>8</v>
      </c>
      <c r="I812">
        <v>2</v>
      </c>
      <c r="J812">
        <v>25</v>
      </c>
      <c r="K812">
        <v>10</v>
      </c>
      <c r="L812">
        <v>17</v>
      </c>
      <c r="M812">
        <v>24</v>
      </c>
      <c r="N812" t="s">
        <v>1138</v>
      </c>
      <c r="O812" t="s">
        <v>1320</v>
      </c>
      <c r="P812" t="s">
        <v>228</v>
      </c>
      <c r="Q812" t="s">
        <v>295</v>
      </c>
      <c r="R812" t="s">
        <v>1318</v>
      </c>
      <c r="S812">
        <v>58</v>
      </c>
      <c r="T812">
        <v>85</v>
      </c>
      <c r="U812">
        <f t="shared" si="51"/>
        <v>-6.11998152461706</v>
      </c>
      <c r="V812">
        <f t="shared" si="52"/>
        <v>-736.105547825002</v>
      </c>
      <c r="W812">
        <f t="shared" si="53"/>
        <v>-6119.98152461706</v>
      </c>
      <c r="X812">
        <f t="shared" si="54"/>
        <v>-2.51230562397611</v>
      </c>
      <c r="Y812">
        <v>20</v>
      </c>
    </row>
    <row r="813" spans="1:25">
      <c r="A813" s="1">
        <v>902</v>
      </c>
      <c r="B813" t="s">
        <v>1313</v>
      </c>
      <c r="C813" t="s">
        <v>1314</v>
      </c>
      <c r="D813" t="s">
        <v>1315</v>
      </c>
      <c r="E813" t="s">
        <v>1316</v>
      </c>
      <c r="F813" t="s">
        <v>299</v>
      </c>
      <c r="G813">
        <v>20</v>
      </c>
      <c r="H813">
        <v>8</v>
      </c>
      <c r="I813">
        <v>63</v>
      </c>
      <c r="J813">
        <v>16</v>
      </c>
      <c r="K813">
        <v>10</v>
      </c>
      <c r="L813">
        <v>17</v>
      </c>
      <c r="M813">
        <v>24</v>
      </c>
      <c r="N813" t="s">
        <v>196</v>
      </c>
      <c r="O813" t="s">
        <v>1317</v>
      </c>
      <c r="P813" t="s">
        <v>228</v>
      </c>
      <c r="Q813" t="s">
        <v>295</v>
      </c>
      <c r="R813" t="s">
        <v>1318</v>
      </c>
      <c r="S813">
        <v>71</v>
      </c>
      <c r="T813">
        <v>89</v>
      </c>
      <c r="U813">
        <f t="shared" si="51"/>
        <v>-6.92762853185194</v>
      </c>
      <c r="V813">
        <f t="shared" si="52"/>
        <v>-833.248560482553</v>
      </c>
      <c r="W813">
        <f t="shared" si="53"/>
        <v>-6927.62853185194</v>
      </c>
      <c r="X813">
        <f t="shared" si="54"/>
        <v>-2.84385174226127</v>
      </c>
      <c r="Y813">
        <v>20</v>
      </c>
    </row>
    <row r="814" spans="1:25">
      <c r="A814" s="1">
        <v>903</v>
      </c>
      <c r="B814" t="s">
        <v>1313</v>
      </c>
      <c r="C814" t="s">
        <v>1314</v>
      </c>
      <c r="D814" t="s">
        <v>1315</v>
      </c>
      <c r="E814" t="s">
        <v>1316</v>
      </c>
      <c r="F814" t="s">
        <v>1321</v>
      </c>
      <c r="G814">
        <v>20</v>
      </c>
      <c r="H814">
        <v>6</v>
      </c>
      <c r="I814">
        <v>2</v>
      </c>
      <c r="J814">
        <v>16</v>
      </c>
      <c r="K814">
        <v>10</v>
      </c>
      <c r="L814">
        <v>17</v>
      </c>
      <c r="M814">
        <v>24</v>
      </c>
      <c r="N814" t="s">
        <v>1138</v>
      </c>
      <c r="O814" t="s">
        <v>1317</v>
      </c>
      <c r="P814" t="s">
        <v>228</v>
      </c>
      <c r="Q814" t="s">
        <v>295</v>
      </c>
      <c r="R814" t="s">
        <v>1318</v>
      </c>
      <c r="S814">
        <v>39</v>
      </c>
      <c r="T814">
        <v>95</v>
      </c>
      <c r="U814">
        <f t="shared" si="51"/>
        <v>-8.92444349709512</v>
      </c>
      <c r="V814">
        <f t="shared" si="52"/>
        <v>-1073.42356231599</v>
      </c>
      <c r="W814">
        <f t="shared" si="53"/>
        <v>-8924.44349709512</v>
      </c>
      <c r="X814">
        <f t="shared" si="54"/>
        <v>-3.66356164612965</v>
      </c>
      <c r="Y814">
        <v>20</v>
      </c>
    </row>
    <row r="815" spans="1:25">
      <c r="A815" s="1">
        <v>904</v>
      </c>
      <c r="B815" t="s">
        <v>1313</v>
      </c>
      <c r="C815" t="s">
        <v>1319</v>
      </c>
      <c r="D815" t="s">
        <v>1315</v>
      </c>
      <c r="E815" t="s">
        <v>1316</v>
      </c>
      <c r="F815" t="s">
        <v>1321</v>
      </c>
      <c r="G815">
        <v>20</v>
      </c>
      <c r="H815">
        <v>6</v>
      </c>
      <c r="I815">
        <v>2</v>
      </c>
      <c r="J815">
        <v>16</v>
      </c>
      <c r="K815">
        <v>10</v>
      </c>
      <c r="L815">
        <v>17</v>
      </c>
      <c r="M815">
        <v>24</v>
      </c>
      <c r="N815" t="s">
        <v>1138</v>
      </c>
      <c r="O815" t="s">
        <v>1317</v>
      </c>
      <c r="P815" t="s">
        <v>228</v>
      </c>
      <c r="Q815" t="s">
        <v>295</v>
      </c>
      <c r="R815" t="s">
        <v>1318</v>
      </c>
      <c r="S815">
        <v>39</v>
      </c>
      <c r="T815">
        <v>74</v>
      </c>
      <c r="U815">
        <f t="shared" si="51"/>
        <v>-4.63073934418378</v>
      </c>
      <c r="V815">
        <f t="shared" si="52"/>
        <v>-556.980917029563</v>
      </c>
      <c r="W815">
        <f t="shared" si="53"/>
        <v>-4630.73934418378</v>
      </c>
      <c r="X815">
        <f t="shared" si="54"/>
        <v>-1.90095876119305</v>
      </c>
      <c r="Y815">
        <v>20</v>
      </c>
    </row>
    <row r="816" spans="1:25">
      <c r="A816" s="1">
        <v>905</v>
      </c>
      <c r="B816" t="s">
        <v>1313</v>
      </c>
      <c r="C816" t="s">
        <v>1314</v>
      </c>
      <c r="D816" t="s">
        <v>1315</v>
      </c>
      <c r="E816" t="s">
        <v>1316</v>
      </c>
      <c r="F816" t="s">
        <v>299</v>
      </c>
      <c r="G816">
        <v>20</v>
      </c>
      <c r="H816">
        <v>8</v>
      </c>
      <c r="I816">
        <v>4</v>
      </c>
      <c r="J816">
        <v>16</v>
      </c>
      <c r="K816">
        <v>10</v>
      </c>
      <c r="L816">
        <v>17</v>
      </c>
      <c r="M816">
        <v>24</v>
      </c>
      <c r="N816" t="s">
        <v>1322</v>
      </c>
      <c r="O816" t="s">
        <v>1317</v>
      </c>
      <c r="P816" t="s">
        <v>228</v>
      </c>
      <c r="Q816" t="s">
        <v>295</v>
      </c>
      <c r="R816" t="s">
        <v>1318</v>
      </c>
      <c r="S816">
        <v>69</v>
      </c>
      <c r="T816">
        <v>93</v>
      </c>
      <c r="U816">
        <f t="shared" si="51"/>
        <v>-8.07968281063364</v>
      </c>
      <c r="V816">
        <f t="shared" si="52"/>
        <v>-971.816551675925</v>
      </c>
      <c r="W816">
        <f t="shared" si="53"/>
        <v>-8079.68281063364</v>
      </c>
      <c r="X816">
        <f t="shared" si="54"/>
        <v>-3.31678003984957</v>
      </c>
      <c r="Y816">
        <v>20</v>
      </c>
    </row>
    <row r="817" spans="1:25">
      <c r="A817" s="1">
        <v>906</v>
      </c>
      <c r="B817" t="s">
        <v>1323</v>
      </c>
      <c r="C817" t="s">
        <v>1314</v>
      </c>
      <c r="D817" t="s">
        <v>1315</v>
      </c>
      <c r="E817" t="s">
        <v>1316</v>
      </c>
      <c r="F817" t="s">
        <v>299</v>
      </c>
      <c r="G817">
        <v>20</v>
      </c>
      <c r="H817">
        <v>8</v>
      </c>
      <c r="I817">
        <v>2</v>
      </c>
      <c r="J817">
        <v>16</v>
      </c>
      <c r="K817">
        <v>10</v>
      </c>
      <c r="L817">
        <v>17</v>
      </c>
      <c r="M817">
        <v>24</v>
      </c>
      <c r="N817" t="s">
        <v>1138</v>
      </c>
      <c r="O817" t="s">
        <v>1317</v>
      </c>
      <c r="P817" t="s">
        <v>228</v>
      </c>
      <c r="Q817" t="s">
        <v>295</v>
      </c>
      <c r="R817" t="s">
        <v>1318</v>
      </c>
      <c r="S817">
        <v>69</v>
      </c>
      <c r="T817">
        <v>83</v>
      </c>
      <c r="U817">
        <f t="shared" si="51"/>
        <v>-5.78860531474638</v>
      </c>
      <c r="V817">
        <f t="shared" si="52"/>
        <v>-696.247932974065</v>
      </c>
      <c r="W817">
        <f t="shared" si="53"/>
        <v>-5788.60531474638</v>
      </c>
      <c r="X817">
        <f t="shared" si="54"/>
        <v>-2.37627280878521</v>
      </c>
      <c r="Y817">
        <v>20</v>
      </c>
    </row>
    <row r="818" spans="1:25">
      <c r="A818" s="1">
        <v>907</v>
      </c>
      <c r="B818" t="s">
        <v>1323</v>
      </c>
      <c r="C818" t="s">
        <v>1319</v>
      </c>
      <c r="D818" t="s">
        <v>1315</v>
      </c>
      <c r="E818" t="s">
        <v>1316</v>
      </c>
      <c r="F818" t="s">
        <v>299</v>
      </c>
      <c r="G818">
        <v>20</v>
      </c>
      <c r="H818">
        <v>8</v>
      </c>
      <c r="I818">
        <v>2</v>
      </c>
      <c r="J818">
        <v>16</v>
      </c>
      <c r="K818">
        <v>10</v>
      </c>
      <c r="L818">
        <v>17</v>
      </c>
      <c r="M818">
        <v>24</v>
      </c>
      <c r="N818" t="s">
        <v>1138</v>
      </c>
      <c r="O818" t="s">
        <v>1317</v>
      </c>
      <c r="P818" t="s">
        <v>228</v>
      </c>
      <c r="Q818" t="s">
        <v>295</v>
      </c>
      <c r="R818" t="s">
        <v>1318</v>
      </c>
      <c r="S818">
        <v>69</v>
      </c>
      <c r="T818">
        <v>91</v>
      </c>
      <c r="U818">
        <f t="shared" si="51"/>
        <v>-7.44210511042826</v>
      </c>
      <c r="V818">
        <f t="shared" si="52"/>
        <v>-895.12931325815</v>
      </c>
      <c r="W818">
        <f t="shared" si="53"/>
        <v>-7442.10511042826</v>
      </c>
      <c r="X818">
        <f t="shared" si="54"/>
        <v>-3.05504885071041</v>
      </c>
      <c r="Y818">
        <v>20</v>
      </c>
    </row>
    <row r="819" spans="1:25">
      <c r="A819" s="1">
        <v>908</v>
      </c>
      <c r="B819" t="s">
        <v>1324</v>
      </c>
      <c r="C819" t="s">
        <v>1314</v>
      </c>
      <c r="D819" t="s">
        <v>1315</v>
      </c>
      <c r="E819" t="s">
        <v>1316</v>
      </c>
      <c r="F819" t="s">
        <v>299</v>
      </c>
      <c r="G819">
        <v>20</v>
      </c>
      <c r="H819">
        <v>8</v>
      </c>
      <c r="I819">
        <v>2</v>
      </c>
      <c r="J819">
        <v>16</v>
      </c>
      <c r="K819">
        <v>10</v>
      </c>
      <c r="L819">
        <v>17</v>
      </c>
      <c r="M819">
        <v>24</v>
      </c>
      <c r="N819" t="s">
        <v>1138</v>
      </c>
      <c r="O819" t="s">
        <v>1317</v>
      </c>
      <c r="P819" t="s">
        <v>228</v>
      </c>
      <c r="Q819" t="s">
        <v>295</v>
      </c>
      <c r="R819" t="s">
        <v>1318</v>
      </c>
      <c r="S819">
        <v>74</v>
      </c>
      <c r="T819">
        <v>77</v>
      </c>
      <c r="U819">
        <f t="shared" si="51"/>
        <v>-4.97104091985747</v>
      </c>
      <c r="V819">
        <f t="shared" si="52"/>
        <v>-597.912066376891</v>
      </c>
      <c r="W819">
        <f t="shared" si="53"/>
        <v>-4971.04091985747</v>
      </c>
      <c r="X819">
        <f t="shared" si="54"/>
        <v>-2.04065551664468</v>
      </c>
      <c r="Y819">
        <v>20</v>
      </c>
    </row>
    <row r="820" spans="1:25">
      <c r="A820" s="1">
        <v>909</v>
      </c>
      <c r="B820" t="s">
        <v>1324</v>
      </c>
      <c r="C820" t="s">
        <v>1319</v>
      </c>
      <c r="D820" t="s">
        <v>1315</v>
      </c>
      <c r="E820" t="s">
        <v>1316</v>
      </c>
      <c r="F820" t="s">
        <v>299</v>
      </c>
      <c r="G820">
        <v>20</v>
      </c>
      <c r="H820">
        <v>8</v>
      </c>
      <c r="I820">
        <v>2</v>
      </c>
      <c r="J820">
        <v>16</v>
      </c>
      <c r="K820">
        <v>10</v>
      </c>
      <c r="L820">
        <v>17</v>
      </c>
      <c r="M820">
        <v>24</v>
      </c>
      <c r="N820" t="s">
        <v>1138</v>
      </c>
      <c r="O820" t="s">
        <v>1317</v>
      </c>
      <c r="P820" t="s">
        <v>228</v>
      </c>
      <c r="Q820" t="s">
        <v>295</v>
      </c>
      <c r="R820" t="s">
        <v>1318</v>
      </c>
      <c r="S820">
        <v>74</v>
      </c>
      <c r="T820">
        <v>93</v>
      </c>
      <c r="U820">
        <f t="shared" si="51"/>
        <v>-8.07968281063364</v>
      </c>
      <c r="V820">
        <f t="shared" si="52"/>
        <v>-971.816551675925</v>
      </c>
      <c r="W820">
        <f t="shared" si="53"/>
        <v>-8079.68281063364</v>
      </c>
      <c r="X820">
        <f t="shared" si="54"/>
        <v>-3.31678003984957</v>
      </c>
      <c r="Y820">
        <v>20</v>
      </c>
    </row>
    <row r="821" spans="1:25">
      <c r="A821" s="1">
        <v>910</v>
      </c>
      <c r="B821" t="s">
        <v>1325</v>
      </c>
      <c r="C821" t="s">
        <v>1314</v>
      </c>
      <c r="D821" t="s">
        <v>1315</v>
      </c>
      <c r="E821" t="s">
        <v>1316</v>
      </c>
      <c r="F821" t="s">
        <v>299</v>
      </c>
      <c r="G821">
        <v>20</v>
      </c>
      <c r="H821">
        <v>8</v>
      </c>
      <c r="I821">
        <v>2</v>
      </c>
      <c r="J821">
        <v>16</v>
      </c>
      <c r="K821">
        <v>10</v>
      </c>
      <c r="L821">
        <v>17</v>
      </c>
      <c r="M821">
        <v>24</v>
      </c>
      <c r="N821" t="s">
        <v>1138</v>
      </c>
      <c r="O821" t="s">
        <v>1317</v>
      </c>
      <c r="P821" t="s">
        <v>228</v>
      </c>
      <c r="Q821" t="s">
        <v>295</v>
      </c>
      <c r="R821" t="s">
        <v>1318</v>
      </c>
      <c r="S821">
        <v>77</v>
      </c>
      <c r="T821">
        <v>65</v>
      </c>
      <c r="U821">
        <f t="shared" si="51"/>
        <v>-3.77725839782843</v>
      </c>
      <c r="V821">
        <f t="shared" si="52"/>
        <v>-454.325041836472</v>
      </c>
      <c r="W821">
        <f t="shared" si="53"/>
        <v>-3777.25839782843</v>
      </c>
      <c r="X821">
        <f t="shared" si="54"/>
        <v>-1.55059741241117</v>
      </c>
      <c r="Y821">
        <v>20</v>
      </c>
    </row>
    <row r="822" spans="1:25">
      <c r="A822" s="1">
        <v>911</v>
      </c>
      <c r="B822" t="s">
        <v>1325</v>
      </c>
      <c r="C822" t="s">
        <v>1319</v>
      </c>
      <c r="D822" t="s">
        <v>1315</v>
      </c>
      <c r="E822" t="s">
        <v>1316</v>
      </c>
      <c r="F822" t="s">
        <v>299</v>
      </c>
      <c r="G822">
        <v>20</v>
      </c>
      <c r="H822">
        <v>8</v>
      </c>
      <c r="I822">
        <v>2</v>
      </c>
      <c r="J822">
        <v>16</v>
      </c>
      <c r="K822">
        <v>10</v>
      </c>
      <c r="L822">
        <v>17</v>
      </c>
      <c r="M822">
        <v>24</v>
      </c>
      <c r="N822" t="s">
        <v>1138</v>
      </c>
      <c r="O822" t="s">
        <v>1317</v>
      </c>
      <c r="P822" t="s">
        <v>228</v>
      </c>
      <c r="Q822" t="s">
        <v>295</v>
      </c>
      <c r="R822" t="s">
        <v>1318</v>
      </c>
      <c r="S822">
        <v>77</v>
      </c>
      <c r="T822">
        <v>57</v>
      </c>
      <c r="U822">
        <f t="shared" si="51"/>
        <v>-3.15473389009034</v>
      </c>
      <c r="V822">
        <f t="shared" si="52"/>
        <v>-379.448387068841</v>
      </c>
      <c r="W822">
        <f t="shared" si="53"/>
        <v>-3154.73389009034</v>
      </c>
      <c r="X822">
        <f t="shared" si="54"/>
        <v>-1.29504568965475</v>
      </c>
      <c r="Y822">
        <v>20</v>
      </c>
    </row>
    <row r="823" spans="1:25">
      <c r="A823" s="1">
        <v>912</v>
      </c>
      <c r="B823" t="s">
        <v>698</v>
      </c>
      <c r="C823" t="s">
        <v>1314</v>
      </c>
      <c r="D823" t="s">
        <v>1315</v>
      </c>
      <c r="E823" t="s">
        <v>1316</v>
      </c>
      <c r="F823" t="s">
        <v>299</v>
      </c>
      <c r="G823">
        <v>20</v>
      </c>
      <c r="H823">
        <v>8</v>
      </c>
      <c r="I823">
        <v>2</v>
      </c>
      <c r="J823">
        <v>16</v>
      </c>
      <c r="K823">
        <v>10</v>
      </c>
      <c r="L823">
        <v>17</v>
      </c>
      <c r="M823">
        <v>24</v>
      </c>
      <c r="N823" t="s">
        <v>1138</v>
      </c>
      <c r="O823" t="s">
        <v>1317</v>
      </c>
      <c r="P823" t="s">
        <v>228</v>
      </c>
      <c r="Q823" t="s">
        <v>295</v>
      </c>
      <c r="R823" t="s">
        <v>1318</v>
      </c>
      <c r="S823">
        <v>75</v>
      </c>
      <c r="T823">
        <v>17</v>
      </c>
      <c r="U823">
        <f t="shared" si="51"/>
        <v>-0.836360671241475</v>
      </c>
      <c r="V823">
        <f t="shared" si="52"/>
        <v>-100.596664811339</v>
      </c>
      <c r="W823">
        <f t="shared" si="53"/>
        <v>-836.360671241475</v>
      </c>
      <c r="X823">
        <f t="shared" si="54"/>
        <v>-0.343333327001158</v>
      </c>
      <c r="Y823">
        <v>20</v>
      </c>
    </row>
    <row r="824" spans="1:25">
      <c r="A824" s="1">
        <v>913</v>
      </c>
      <c r="B824" t="s">
        <v>698</v>
      </c>
      <c r="C824" t="s">
        <v>1319</v>
      </c>
      <c r="D824" t="s">
        <v>1315</v>
      </c>
      <c r="E824" t="s">
        <v>1316</v>
      </c>
      <c r="F824" t="s">
        <v>299</v>
      </c>
      <c r="G824">
        <v>20</v>
      </c>
      <c r="H824">
        <v>8</v>
      </c>
      <c r="I824">
        <v>2</v>
      </c>
      <c r="J824">
        <v>16</v>
      </c>
      <c r="K824">
        <v>10</v>
      </c>
      <c r="L824">
        <v>17</v>
      </c>
      <c r="M824">
        <v>24</v>
      </c>
      <c r="N824" t="s">
        <v>1138</v>
      </c>
      <c r="O824" t="s">
        <v>1317</v>
      </c>
      <c r="P824" t="s">
        <v>228</v>
      </c>
      <c r="Q824" t="s">
        <v>295</v>
      </c>
      <c r="R824" t="s">
        <v>1318</v>
      </c>
      <c r="S824">
        <v>75</v>
      </c>
      <c r="T824">
        <v>27</v>
      </c>
      <c r="U824">
        <f t="shared" si="51"/>
        <v>-1.34888165143094</v>
      </c>
      <c r="V824">
        <f t="shared" si="52"/>
        <v>-162.242200075889</v>
      </c>
      <c r="W824">
        <f t="shared" si="53"/>
        <v>-1348.88165143094</v>
      </c>
      <c r="X824">
        <f t="shared" si="54"/>
        <v>-0.5537276453102</v>
      </c>
      <c r="Y824">
        <v>20</v>
      </c>
    </row>
    <row r="825" spans="1:25">
      <c r="A825" s="1">
        <v>914</v>
      </c>
      <c r="B825" t="s">
        <v>1324</v>
      </c>
      <c r="C825" t="s">
        <v>1314</v>
      </c>
      <c r="D825" t="s">
        <v>1315</v>
      </c>
      <c r="E825" t="s">
        <v>1316</v>
      </c>
      <c r="F825" t="s">
        <v>299</v>
      </c>
      <c r="G825">
        <v>20</v>
      </c>
      <c r="H825">
        <v>8</v>
      </c>
      <c r="I825">
        <v>2</v>
      </c>
      <c r="J825">
        <v>16</v>
      </c>
      <c r="K825">
        <v>10</v>
      </c>
      <c r="L825">
        <v>17</v>
      </c>
      <c r="M825">
        <v>24</v>
      </c>
      <c r="N825" t="s">
        <v>1138</v>
      </c>
      <c r="O825" t="s">
        <v>1317</v>
      </c>
      <c r="P825" t="s">
        <v>228</v>
      </c>
      <c r="Q825" t="s">
        <v>295</v>
      </c>
      <c r="R825" t="s">
        <v>1318</v>
      </c>
      <c r="S825">
        <v>54</v>
      </c>
      <c r="T825">
        <v>66</v>
      </c>
      <c r="U825">
        <f t="shared" si="51"/>
        <v>-3.8625911857261</v>
      </c>
      <c r="V825">
        <f t="shared" si="52"/>
        <v>-464.588788275932</v>
      </c>
      <c r="W825">
        <f t="shared" si="53"/>
        <v>-3862.5911857261</v>
      </c>
      <c r="X825">
        <f t="shared" si="54"/>
        <v>-1.58562726374038</v>
      </c>
      <c r="Y825">
        <v>20</v>
      </c>
    </row>
    <row r="826" spans="1:25">
      <c r="A826" s="1">
        <v>915</v>
      </c>
      <c r="B826" t="s">
        <v>1324</v>
      </c>
      <c r="C826" t="s">
        <v>1319</v>
      </c>
      <c r="D826" t="s">
        <v>1315</v>
      </c>
      <c r="E826" t="s">
        <v>1316</v>
      </c>
      <c r="F826" t="s">
        <v>299</v>
      </c>
      <c r="G826">
        <v>20</v>
      </c>
      <c r="H826">
        <v>8</v>
      </c>
      <c r="I826">
        <v>2</v>
      </c>
      <c r="J826">
        <v>16</v>
      </c>
      <c r="K826">
        <v>10</v>
      </c>
      <c r="L826">
        <v>17</v>
      </c>
      <c r="M826">
        <v>24</v>
      </c>
      <c r="N826" t="s">
        <v>1138</v>
      </c>
      <c r="O826" t="s">
        <v>1317</v>
      </c>
      <c r="P826" t="s">
        <v>228</v>
      </c>
      <c r="Q826" t="s">
        <v>295</v>
      </c>
      <c r="R826" t="s">
        <v>1318</v>
      </c>
      <c r="S826">
        <v>54</v>
      </c>
      <c r="T826">
        <v>31</v>
      </c>
      <c r="U826">
        <f t="shared" si="51"/>
        <v>-1.56169851630072</v>
      </c>
      <c r="V826">
        <f t="shared" si="52"/>
        <v>-187.83960985094</v>
      </c>
      <c r="W826">
        <f t="shared" si="53"/>
        <v>-1561.69851630072</v>
      </c>
      <c r="X826">
        <f t="shared" si="54"/>
        <v>-0.641090818603892</v>
      </c>
      <c r="Y826">
        <v>20</v>
      </c>
    </row>
    <row r="827" spans="1:25">
      <c r="A827" s="1">
        <v>916</v>
      </c>
      <c r="B827" t="s">
        <v>1326</v>
      </c>
      <c r="C827" t="s">
        <v>1314</v>
      </c>
      <c r="D827" t="s">
        <v>1315</v>
      </c>
      <c r="E827" t="s">
        <v>1316</v>
      </c>
      <c r="F827" t="s">
        <v>299</v>
      </c>
      <c r="G827">
        <v>20</v>
      </c>
      <c r="H827">
        <v>8</v>
      </c>
      <c r="I827">
        <v>2</v>
      </c>
      <c r="J827">
        <v>16</v>
      </c>
      <c r="K827">
        <v>10</v>
      </c>
      <c r="L827">
        <v>17</v>
      </c>
      <c r="M827">
        <v>24</v>
      </c>
      <c r="N827" t="s">
        <v>1138</v>
      </c>
      <c r="O827" t="s">
        <v>1317</v>
      </c>
      <c r="P827" t="s">
        <v>228</v>
      </c>
      <c r="Q827" t="s">
        <v>295</v>
      </c>
      <c r="R827" t="s">
        <v>1318</v>
      </c>
      <c r="S827">
        <v>28</v>
      </c>
      <c r="T827">
        <v>17</v>
      </c>
      <c r="U827">
        <f t="shared" si="51"/>
        <v>-0.836360671241475</v>
      </c>
      <c r="V827">
        <f t="shared" si="52"/>
        <v>-100.596664811339</v>
      </c>
      <c r="W827">
        <f t="shared" si="53"/>
        <v>-836.360671241475</v>
      </c>
      <c r="X827">
        <f t="shared" si="54"/>
        <v>-0.343333327001158</v>
      </c>
      <c r="Y827">
        <v>20</v>
      </c>
    </row>
    <row r="828" spans="1:25">
      <c r="A828" s="1">
        <v>917</v>
      </c>
      <c r="B828" t="s">
        <v>1313</v>
      </c>
      <c r="C828" t="s">
        <v>1327</v>
      </c>
      <c r="D828" t="s">
        <v>1328</v>
      </c>
      <c r="E828" t="s">
        <v>1329</v>
      </c>
      <c r="F828" t="s">
        <v>299</v>
      </c>
      <c r="G828">
        <v>20</v>
      </c>
      <c r="H828">
        <v>8</v>
      </c>
      <c r="I828">
        <v>2</v>
      </c>
      <c r="J828">
        <v>16</v>
      </c>
      <c r="K828">
        <v>10</v>
      </c>
      <c r="L828">
        <v>17</v>
      </c>
      <c r="M828">
        <v>24</v>
      </c>
      <c r="N828" t="s">
        <v>1138</v>
      </c>
      <c r="O828" t="s">
        <v>1317</v>
      </c>
      <c r="P828" t="s">
        <v>228</v>
      </c>
      <c r="Q828" t="s">
        <v>295</v>
      </c>
      <c r="R828" t="s">
        <v>1318</v>
      </c>
      <c r="S828">
        <v>68</v>
      </c>
      <c r="T828">
        <v>96</v>
      </c>
      <c r="U828">
        <f t="shared" si="51"/>
        <v>-9.48048202983808</v>
      </c>
      <c r="V828">
        <f t="shared" si="52"/>
        <v>-1140.30334734641</v>
      </c>
      <c r="W828">
        <f t="shared" si="53"/>
        <v>-9480.48202983808</v>
      </c>
      <c r="X828">
        <f t="shared" si="54"/>
        <v>-3.89182029811063</v>
      </c>
      <c r="Y828">
        <v>20</v>
      </c>
    </row>
    <row r="829" spans="1:25">
      <c r="A829" s="1">
        <v>918</v>
      </c>
      <c r="B829" t="s">
        <v>1313</v>
      </c>
      <c r="C829" t="s">
        <v>1330</v>
      </c>
      <c r="D829" t="s">
        <v>1331</v>
      </c>
      <c r="E829" t="s">
        <v>1329</v>
      </c>
      <c r="F829" t="s">
        <v>299</v>
      </c>
      <c r="G829">
        <v>20</v>
      </c>
      <c r="H829">
        <v>8</v>
      </c>
      <c r="I829">
        <v>2</v>
      </c>
      <c r="J829">
        <v>16</v>
      </c>
      <c r="K829">
        <v>10</v>
      </c>
      <c r="L829">
        <v>17</v>
      </c>
      <c r="M829">
        <v>24</v>
      </c>
      <c r="N829" t="s">
        <v>1138</v>
      </c>
      <c r="O829" t="s">
        <v>1317</v>
      </c>
      <c r="P829" t="s">
        <v>228</v>
      </c>
      <c r="Q829" t="s">
        <v>295</v>
      </c>
      <c r="R829" t="s">
        <v>1318</v>
      </c>
      <c r="S829">
        <v>60</v>
      </c>
      <c r="T829">
        <v>94</v>
      </c>
      <c r="U829">
        <f t="shared" si="51"/>
        <v>-8.46778336063611</v>
      </c>
      <c r="V829">
        <f t="shared" si="52"/>
        <v>-1018.49691612174</v>
      </c>
      <c r="W829">
        <f t="shared" si="53"/>
        <v>-8467.78336063611</v>
      </c>
      <c r="X829">
        <f t="shared" si="54"/>
        <v>-3.47609868983527</v>
      </c>
      <c r="Y829">
        <v>20</v>
      </c>
    </row>
    <row r="830" spans="1:25">
      <c r="A830" s="1">
        <v>919</v>
      </c>
      <c r="B830" t="s">
        <v>1313</v>
      </c>
      <c r="C830" t="s">
        <v>1332</v>
      </c>
      <c r="D830" t="s">
        <v>1333</v>
      </c>
      <c r="E830" t="s">
        <v>1329</v>
      </c>
      <c r="F830" t="s">
        <v>299</v>
      </c>
      <c r="G830">
        <v>20</v>
      </c>
      <c r="H830">
        <v>8</v>
      </c>
      <c r="I830">
        <v>2</v>
      </c>
      <c r="J830">
        <v>16</v>
      </c>
      <c r="K830">
        <v>10</v>
      </c>
      <c r="L830">
        <v>17</v>
      </c>
      <c r="M830">
        <v>24</v>
      </c>
      <c r="N830" t="s">
        <v>1138</v>
      </c>
      <c r="O830" t="s">
        <v>1317</v>
      </c>
      <c r="P830" t="s">
        <v>228</v>
      </c>
      <c r="Q830" t="s">
        <v>295</v>
      </c>
      <c r="R830" t="s">
        <v>1318</v>
      </c>
      <c r="S830">
        <v>85</v>
      </c>
      <c r="T830">
        <v>91</v>
      </c>
      <c r="U830">
        <f t="shared" si="51"/>
        <v>-7.44210511042826</v>
      </c>
      <c r="V830">
        <f t="shared" si="52"/>
        <v>-895.12931325815</v>
      </c>
      <c r="W830">
        <f t="shared" si="53"/>
        <v>-7442.10511042826</v>
      </c>
      <c r="X830">
        <f t="shared" si="54"/>
        <v>-3.05504885071041</v>
      </c>
      <c r="Y830">
        <v>20</v>
      </c>
    </row>
    <row r="831" spans="1:25">
      <c r="A831" s="1">
        <v>920</v>
      </c>
      <c r="B831" t="s">
        <v>1313</v>
      </c>
      <c r="C831" t="s">
        <v>1334</v>
      </c>
      <c r="D831" t="s">
        <v>1335</v>
      </c>
      <c r="E831" t="s">
        <v>1329</v>
      </c>
      <c r="F831" t="s">
        <v>299</v>
      </c>
      <c r="G831">
        <v>20</v>
      </c>
      <c r="H831">
        <v>8</v>
      </c>
      <c r="I831">
        <v>2</v>
      </c>
      <c r="J831">
        <v>16</v>
      </c>
      <c r="K831">
        <v>10</v>
      </c>
      <c r="L831">
        <v>17</v>
      </c>
      <c r="M831">
        <v>24</v>
      </c>
      <c r="N831" t="s">
        <v>1138</v>
      </c>
      <c r="O831" t="s">
        <v>1317</v>
      </c>
      <c r="P831" t="s">
        <v>228</v>
      </c>
      <c r="Q831" t="s">
        <v>295</v>
      </c>
      <c r="R831" t="s">
        <v>1318</v>
      </c>
      <c r="S831">
        <v>46</v>
      </c>
      <c r="T831">
        <v>88</v>
      </c>
      <c r="U831">
        <f t="shared" si="51"/>
        <v>-6.70274552564081</v>
      </c>
      <c r="V831">
        <f t="shared" si="52"/>
        <v>-806.199846721291</v>
      </c>
      <c r="W831">
        <f t="shared" si="53"/>
        <v>-6702.74552564081</v>
      </c>
      <c r="X831">
        <f t="shared" si="54"/>
        <v>-2.75153531304195</v>
      </c>
      <c r="Y831">
        <v>20</v>
      </c>
    </row>
    <row r="832" spans="1:25">
      <c r="A832" s="1">
        <v>921</v>
      </c>
      <c r="B832" t="s">
        <v>1313</v>
      </c>
      <c r="C832" t="s">
        <v>1336</v>
      </c>
      <c r="D832" t="s">
        <v>1337</v>
      </c>
      <c r="E832" t="s">
        <v>1329</v>
      </c>
      <c r="F832" t="s">
        <v>299</v>
      </c>
      <c r="G832">
        <v>20</v>
      </c>
      <c r="H832">
        <v>8</v>
      </c>
      <c r="I832">
        <v>2</v>
      </c>
      <c r="J832">
        <v>16</v>
      </c>
      <c r="K832">
        <v>10</v>
      </c>
      <c r="L832">
        <v>17</v>
      </c>
      <c r="M832">
        <v>24</v>
      </c>
      <c r="N832" t="s">
        <v>1138</v>
      </c>
      <c r="O832" t="s">
        <v>1317</v>
      </c>
      <c r="P832" t="s">
        <v>228</v>
      </c>
      <c r="Q832" t="s">
        <v>295</v>
      </c>
      <c r="R832" t="s">
        <v>1318</v>
      </c>
      <c r="S832">
        <v>44</v>
      </c>
      <c r="T832">
        <v>84</v>
      </c>
      <c r="U832">
        <f t="shared" si="51"/>
        <v>-5.94956226285345</v>
      </c>
      <c r="V832">
        <f t="shared" si="52"/>
        <v>-715.607681363177</v>
      </c>
      <c r="W832">
        <f t="shared" si="53"/>
        <v>-5949.56226285345</v>
      </c>
      <c r="X832">
        <f t="shared" si="54"/>
        <v>-2.4423470353692</v>
      </c>
      <c r="Y832">
        <v>20</v>
      </c>
    </row>
    <row r="833" spans="1:25">
      <c r="A833" s="1">
        <v>922</v>
      </c>
      <c r="B833" t="s">
        <v>1313</v>
      </c>
      <c r="C833" t="s">
        <v>1338</v>
      </c>
      <c r="D833" t="s">
        <v>1339</v>
      </c>
      <c r="E833" t="s">
        <v>1340</v>
      </c>
      <c r="F833" t="s">
        <v>299</v>
      </c>
      <c r="G833">
        <v>20</v>
      </c>
      <c r="H833">
        <v>8</v>
      </c>
      <c r="I833">
        <v>2</v>
      </c>
      <c r="J833">
        <v>16</v>
      </c>
      <c r="K833">
        <v>10</v>
      </c>
      <c r="L833">
        <v>17</v>
      </c>
      <c r="M833">
        <v>24</v>
      </c>
      <c r="N833" t="s">
        <v>1138</v>
      </c>
      <c r="O833" t="s">
        <v>1317</v>
      </c>
      <c r="P833" t="s">
        <v>228</v>
      </c>
      <c r="Q833" t="s">
        <v>295</v>
      </c>
      <c r="R833" t="s">
        <v>1318</v>
      </c>
      <c r="S833">
        <v>63</v>
      </c>
      <c r="T833">
        <v>89</v>
      </c>
      <c r="U833">
        <f t="shared" si="51"/>
        <v>-6.92762853185194</v>
      </c>
      <c r="V833">
        <f t="shared" si="52"/>
        <v>-833.248560482553</v>
      </c>
      <c r="W833">
        <f t="shared" si="53"/>
        <v>-6927.62853185194</v>
      </c>
      <c r="X833">
        <f t="shared" si="54"/>
        <v>-2.84385174226127</v>
      </c>
      <c r="Y833">
        <v>20</v>
      </c>
    </row>
    <row r="834" spans="1:25">
      <c r="A834" s="1">
        <v>923</v>
      </c>
      <c r="B834" t="s">
        <v>1313</v>
      </c>
      <c r="C834" t="s">
        <v>1341</v>
      </c>
      <c r="D834" t="s">
        <v>1342</v>
      </c>
      <c r="E834" t="s">
        <v>1329</v>
      </c>
      <c r="F834" t="s">
        <v>299</v>
      </c>
      <c r="G834">
        <v>20</v>
      </c>
      <c r="H834">
        <v>8</v>
      </c>
      <c r="I834">
        <v>2</v>
      </c>
      <c r="J834">
        <v>16</v>
      </c>
      <c r="K834">
        <v>10</v>
      </c>
      <c r="L834">
        <v>17</v>
      </c>
      <c r="M834">
        <v>24</v>
      </c>
      <c r="N834" t="s">
        <v>1138</v>
      </c>
      <c r="O834" t="s">
        <v>1317</v>
      </c>
      <c r="P834" t="s">
        <v>228</v>
      </c>
      <c r="Q834" t="s">
        <v>295</v>
      </c>
      <c r="R834" t="s">
        <v>1318</v>
      </c>
      <c r="S834">
        <v>65</v>
      </c>
      <c r="T834">
        <v>94</v>
      </c>
      <c r="U834">
        <f t="shared" ref="U834:U887" si="55">LN((1+T834*0.01)/(1-T834*0.01))*-(G834+273)*8.314/1000</f>
        <v>-8.46778336063611</v>
      </c>
      <c r="V834">
        <f t="shared" ref="V834:V887" si="56">LN((1+T834*0.01)/(1-T834*0.01))*-(G834+273)</f>
        <v>-1018.49691612174</v>
      </c>
      <c r="W834">
        <f t="shared" ref="W834:W887" si="57">LN((1+T834*0.01)/(1-T834*0.01))*-(G834+273)*8.314</f>
        <v>-8467.78336063611</v>
      </c>
      <c r="X834">
        <f t="shared" si="54"/>
        <v>-3.47609868983527</v>
      </c>
      <c r="Y834">
        <v>20</v>
      </c>
    </row>
    <row r="835" spans="1:25">
      <c r="A835" s="1">
        <v>923</v>
      </c>
      <c r="B835" t="s">
        <v>1313</v>
      </c>
      <c r="C835" t="s">
        <v>1343</v>
      </c>
      <c r="D835" t="s">
        <v>1344</v>
      </c>
      <c r="E835" t="s">
        <v>1329</v>
      </c>
      <c r="F835" t="s">
        <v>299</v>
      </c>
      <c r="G835">
        <v>20</v>
      </c>
      <c r="H835">
        <v>8</v>
      </c>
      <c r="I835">
        <v>2</v>
      </c>
      <c r="J835">
        <v>16</v>
      </c>
      <c r="K835">
        <v>10</v>
      </c>
      <c r="L835">
        <v>17</v>
      </c>
      <c r="M835">
        <v>24</v>
      </c>
      <c r="N835" t="s">
        <v>1138</v>
      </c>
      <c r="O835" t="s">
        <v>1317</v>
      </c>
      <c r="P835" t="s">
        <v>228</v>
      </c>
      <c r="Q835" t="s">
        <v>295</v>
      </c>
      <c r="R835" t="s">
        <v>1318</v>
      </c>
      <c r="S835">
        <v>53</v>
      </c>
      <c r="T835">
        <v>89</v>
      </c>
      <c r="U835">
        <f t="shared" si="55"/>
        <v>-6.92762853185194</v>
      </c>
      <c r="V835">
        <f t="shared" si="56"/>
        <v>-833.248560482553</v>
      </c>
      <c r="W835">
        <f t="shared" si="57"/>
        <v>-6927.62853185194</v>
      </c>
      <c r="X835">
        <f t="shared" ref="X835" si="58">-LN((1+T835*0.01)/(1-T835*0.01))</f>
        <v>-2.84385174226127</v>
      </c>
      <c r="Y835">
        <v>20</v>
      </c>
    </row>
    <row r="836" spans="1:25">
      <c r="A836" s="1">
        <v>924</v>
      </c>
      <c r="B836" t="s">
        <v>1313</v>
      </c>
      <c r="C836" t="s">
        <v>1345</v>
      </c>
      <c r="D836" t="s">
        <v>1346</v>
      </c>
      <c r="E836" t="s">
        <v>1329</v>
      </c>
      <c r="F836" t="s">
        <v>299</v>
      </c>
      <c r="G836">
        <v>20</v>
      </c>
      <c r="H836">
        <v>8</v>
      </c>
      <c r="I836">
        <v>2</v>
      </c>
      <c r="J836">
        <v>16</v>
      </c>
      <c r="K836">
        <v>10</v>
      </c>
      <c r="L836">
        <v>17</v>
      </c>
      <c r="M836">
        <v>24</v>
      </c>
      <c r="N836" t="s">
        <v>1138</v>
      </c>
      <c r="O836" t="s">
        <v>1317</v>
      </c>
      <c r="P836" t="s">
        <v>228</v>
      </c>
      <c r="Q836" t="s">
        <v>295</v>
      </c>
      <c r="R836" t="s">
        <v>1318</v>
      </c>
      <c r="S836">
        <v>51</v>
      </c>
      <c r="T836">
        <v>93</v>
      </c>
      <c r="U836">
        <f t="shared" si="55"/>
        <v>-8.07968281063364</v>
      </c>
      <c r="V836">
        <f t="shared" si="56"/>
        <v>-971.816551675925</v>
      </c>
      <c r="W836">
        <f t="shared" si="57"/>
        <v>-8079.68281063364</v>
      </c>
      <c r="X836">
        <f t="shared" si="54"/>
        <v>-3.31678003984957</v>
      </c>
      <c r="Y836">
        <v>20</v>
      </c>
    </row>
    <row r="837" spans="1:25">
      <c r="A837" s="1">
        <v>925</v>
      </c>
      <c r="B837" t="s">
        <v>1313</v>
      </c>
      <c r="C837" t="s">
        <v>1347</v>
      </c>
      <c r="D837" t="s">
        <v>1348</v>
      </c>
      <c r="E837" t="s">
        <v>1329</v>
      </c>
      <c r="F837" t="s">
        <v>299</v>
      </c>
      <c r="G837">
        <v>20</v>
      </c>
      <c r="H837">
        <v>8</v>
      </c>
      <c r="I837">
        <v>2</v>
      </c>
      <c r="J837">
        <v>16</v>
      </c>
      <c r="K837">
        <v>10</v>
      </c>
      <c r="L837">
        <v>17</v>
      </c>
      <c r="M837">
        <v>24</v>
      </c>
      <c r="N837" t="s">
        <v>1138</v>
      </c>
      <c r="O837" t="s">
        <v>1317</v>
      </c>
      <c r="P837" t="s">
        <v>228</v>
      </c>
      <c r="Q837" t="s">
        <v>295</v>
      </c>
      <c r="R837" t="s">
        <v>1318</v>
      </c>
      <c r="S837">
        <v>69</v>
      </c>
      <c r="T837">
        <v>97</v>
      </c>
      <c r="U837">
        <f t="shared" si="55"/>
        <v>-10.1936731171931</v>
      </c>
      <c r="V837">
        <f t="shared" si="56"/>
        <v>-1226.08529194047</v>
      </c>
      <c r="W837">
        <f t="shared" si="57"/>
        <v>-10193.6731171931</v>
      </c>
      <c r="X837">
        <f t="shared" si="54"/>
        <v>-4.18459144006988</v>
      </c>
      <c r="Y837">
        <v>20</v>
      </c>
    </row>
    <row r="838" spans="1:25">
      <c r="A838" s="1">
        <v>926</v>
      </c>
      <c r="B838" t="s">
        <v>1313</v>
      </c>
      <c r="C838" t="s">
        <v>1349</v>
      </c>
      <c r="D838" t="s">
        <v>1350</v>
      </c>
      <c r="E838" t="s">
        <v>1329</v>
      </c>
      <c r="F838" t="s">
        <v>299</v>
      </c>
      <c r="G838">
        <v>20</v>
      </c>
      <c r="H838">
        <v>8</v>
      </c>
      <c r="I838">
        <v>2</v>
      </c>
      <c r="J838">
        <v>16</v>
      </c>
      <c r="K838">
        <v>10</v>
      </c>
      <c r="L838">
        <v>17</v>
      </c>
      <c r="M838">
        <v>24</v>
      </c>
      <c r="N838" t="s">
        <v>1138</v>
      </c>
      <c r="O838" t="s">
        <v>1317</v>
      </c>
      <c r="P838" t="s">
        <v>228</v>
      </c>
      <c r="Q838" t="s">
        <v>295</v>
      </c>
      <c r="R838" t="s">
        <v>1318</v>
      </c>
      <c r="S838">
        <v>68</v>
      </c>
      <c r="T838">
        <v>96</v>
      </c>
      <c r="U838">
        <f t="shared" si="55"/>
        <v>-9.48048202983808</v>
      </c>
      <c r="V838">
        <f t="shared" si="56"/>
        <v>-1140.30334734641</v>
      </c>
      <c r="W838">
        <f t="shared" si="57"/>
        <v>-9480.48202983808</v>
      </c>
      <c r="X838">
        <f t="shared" si="54"/>
        <v>-3.89182029811063</v>
      </c>
      <c r="Y838">
        <v>20</v>
      </c>
    </row>
    <row r="839" spans="1:25">
      <c r="A839" s="1">
        <v>927</v>
      </c>
      <c r="B839" t="s">
        <v>1313</v>
      </c>
      <c r="C839" t="s">
        <v>1351</v>
      </c>
      <c r="D839" t="s">
        <v>1352</v>
      </c>
      <c r="E839" t="s">
        <v>1329</v>
      </c>
      <c r="F839" t="s">
        <v>299</v>
      </c>
      <c r="G839">
        <v>20</v>
      </c>
      <c r="H839">
        <v>8</v>
      </c>
      <c r="I839">
        <v>2</v>
      </c>
      <c r="J839">
        <v>16</v>
      </c>
      <c r="K839">
        <v>10</v>
      </c>
      <c r="L839">
        <v>17</v>
      </c>
      <c r="M839">
        <v>24</v>
      </c>
      <c r="N839" t="s">
        <v>1138</v>
      </c>
      <c r="O839" t="s">
        <v>1317</v>
      </c>
      <c r="P839" t="s">
        <v>228</v>
      </c>
      <c r="Q839" t="s">
        <v>295</v>
      </c>
      <c r="R839" t="s">
        <v>1318</v>
      </c>
      <c r="S839">
        <v>75</v>
      </c>
      <c r="T839">
        <v>97</v>
      </c>
      <c r="U839">
        <f t="shared" si="55"/>
        <v>-10.1936731171931</v>
      </c>
      <c r="V839">
        <f t="shared" si="56"/>
        <v>-1226.08529194047</v>
      </c>
      <c r="W839">
        <f t="shared" si="57"/>
        <v>-10193.6731171931</v>
      </c>
      <c r="X839">
        <f t="shared" si="54"/>
        <v>-4.18459144006988</v>
      </c>
      <c r="Y839">
        <v>20</v>
      </c>
    </row>
    <row r="840" spans="1:25">
      <c r="A840" s="1">
        <v>928</v>
      </c>
      <c r="B840" t="s">
        <v>1313</v>
      </c>
      <c r="C840" t="s">
        <v>1353</v>
      </c>
      <c r="D840" t="s">
        <v>1354</v>
      </c>
      <c r="E840" t="s">
        <v>1329</v>
      </c>
      <c r="F840" t="s">
        <v>299</v>
      </c>
      <c r="G840">
        <v>20</v>
      </c>
      <c r="H840">
        <v>8</v>
      </c>
      <c r="I840">
        <v>2</v>
      </c>
      <c r="J840">
        <v>16</v>
      </c>
      <c r="K840">
        <v>10</v>
      </c>
      <c r="L840">
        <v>17</v>
      </c>
      <c r="M840">
        <v>24</v>
      </c>
      <c r="N840" t="s">
        <v>1138</v>
      </c>
      <c r="O840" t="s">
        <v>1317</v>
      </c>
      <c r="P840" t="s">
        <v>228</v>
      </c>
      <c r="Q840" t="s">
        <v>295</v>
      </c>
      <c r="R840" t="s">
        <v>1318</v>
      </c>
      <c r="S840">
        <v>68</v>
      </c>
      <c r="T840">
        <v>85</v>
      </c>
      <c r="U840">
        <f t="shared" si="55"/>
        <v>-6.11998152461706</v>
      </c>
      <c r="V840">
        <f t="shared" si="56"/>
        <v>-736.105547825002</v>
      </c>
      <c r="W840">
        <f t="shared" si="57"/>
        <v>-6119.98152461706</v>
      </c>
      <c r="X840">
        <f t="shared" si="54"/>
        <v>-2.51230562397611</v>
      </c>
      <c r="Y840">
        <v>20</v>
      </c>
    </row>
    <row r="841" spans="1:25">
      <c r="A841" s="1">
        <v>929</v>
      </c>
      <c r="B841" t="s">
        <v>1313</v>
      </c>
      <c r="C841" t="s">
        <v>1355</v>
      </c>
      <c r="D841" t="s">
        <v>1356</v>
      </c>
      <c r="E841" t="s">
        <v>1329</v>
      </c>
      <c r="F841" t="s">
        <v>299</v>
      </c>
      <c r="G841">
        <v>20</v>
      </c>
      <c r="H841">
        <v>8</v>
      </c>
      <c r="I841">
        <v>2</v>
      </c>
      <c r="J841">
        <v>16</v>
      </c>
      <c r="K841">
        <v>10</v>
      </c>
      <c r="L841">
        <v>17</v>
      </c>
      <c r="M841">
        <v>24</v>
      </c>
      <c r="N841" t="s">
        <v>1138</v>
      </c>
      <c r="O841" t="s">
        <v>1317</v>
      </c>
      <c r="P841" t="s">
        <v>228</v>
      </c>
      <c r="Q841" t="s">
        <v>295</v>
      </c>
      <c r="R841" t="s">
        <v>1318</v>
      </c>
      <c r="S841">
        <v>64</v>
      </c>
      <c r="T841">
        <v>95</v>
      </c>
      <c r="U841">
        <f t="shared" si="55"/>
        <v>-8.92444349709512</v>
      </c>
      <c r="V841">
        <f t="shared" si="56"/>
        <v>-1073.42356231599</v>
      </c>
      <c r="W841">
        <f t="shared" si="57"/>
        <v>-8924.44349709512</v>
      </c>
      <c r="X841">
        <f t="shared" si="54"/>
        <v>-3.66356164612965</v>
      </c>
      <c r="Y841">
        <v>20</v>
      </c>
    </row>
    <row r="842" spans="1:25">
      <c r="A842" s="1">
        <v>930</v>
      </c>
      <c r="B842" t="s">
        <v>1313</v>
      </c>
      <c r="C842" t="s">
        <v>1357</v>
      </c>
      <c r="D842" t="s">
        <v>1358</v>
      </c>
      <c r="E842" t="s">
        <v>1329</v>
      </c>
      <c r="F842" t="s">
        <v>299</v>
      </c>
      <c r="G842">
        <v>20</v>
      </c>
      <c r="H842">
        <v>8</v>
      </c>
      <c r="I842">
        <v>2</v>
      </c>
      <c r="J842">
        <v>16</v>
      </c>
      <c r="K842">
        <v>10</v>
      </c>
      <c r="L842">
        <v>17</v>
      </c>
      <c r="M842">
        <v>24</v>
      </c>
      <c r="N842" t="s">
        <v>1138</v>
      </c>
      <c r="O842" t="s">
        <v>1317</v>
      </c>
      <c r="P842" t="s">
        <v>228</v>
      </c>
      <c r="Q842" t="s">
        <v>295</v>
      </c>
      <c r="R842" t="s">
        <v>1318</v>
      </c>
      <c r="S842">
        <v>60</v>
      </c>
      <c r="T842">
        <v>89</v>
      </c>
      <c r="U842">
        <f t="shared" si="55"/>
        <v>-6.92762853185194</v>
      </c>
      <c r="V842">
        <f t="shared" si="56"/>
        <v>-833.248560482553</v>
      </c>
      <c r="W842">
        <f t="shared" si="57"/>
        <v>-6927.62853185194</v>
      </c>
      <c r="X842">
        <f t="shared" si="54"/>
        <v>-2.84385174226127</v>
      </c>
      <c r="Y842">
        <v>20</v>
      </c>
    </row>
    <row r="843" spans="1:25">
      <c r="A843" s="1">
        <v>931</v>
      </c>
      <c r="B843" t="s">
        <v>1313</v>
      </c>
      <c r="C843" t="s">
        <v>1359</v>
      </c>
      <c r="D843" t="s">
        <v>1360</v>
      </c>
      <c r="E843" t="s">
        <v>1329</v>
      </c>
      <c r="F843" t="s">
        <v>299</v>
      </c>
      <c r="G843">
        <v>20</v>
      </c>
      <c r="H843">
        <v>8</v>
      </c>
      <c r="I843">
        <v>2</v>
      </c>
      <c r="J843">
        <v>16</v>
      </c>
      <c r="K843">
        <v>10</v>
      </c>
      <c r="L843">
        <v>17</v>
      </c>
      <c r="M843">
        <v>24</v>
      </c>
      <c r="N843" t="s">
        <v>1138</v>
      </c>
      <c r="O843" t="s">
        <v>1317</v>
      </c>
      <c r="P843" t="s">
        <v>228</v>
      </c>
      <c r="Q843" t="s">
        <v>295</v>
      </c>
      <c r="R843" t="s">
        <v>1318</v>
      </c>
      <c r="S843">
        <v>52</v>
      </c>
      <c r="T843">
        <v>80</v>
      </c>
      <c r="U843">
        <f t="shared" si="55"/>
        <v>-5.35244346484019</v>
      </c>
      <c r="V843">
        <f t="shared" si="56"/>
        <v>-643.786801159512</v>
      </c>
      <c r="W843">
        <f t="shared" si="57"/>
        <v>-5352.44346484019</v>
      </c>
      <c r="X843">
        <f t="shared" si="54"/>
        <v>-2.19722457733622</v>
      </c>
      <c r="Y843">
        <v>20</v>
      </c>
    </row>
    <row r="844" spans="1:25">
      <c r="A844" s="1">
        <v>932</v>
      </c>
      <c r="B844" t="s">
        <v>1313</v>
      </c>
      <c r="C844" t="s">
        <v>1361</v>
      </c>
      <c r="D844" t="s">
        <v>1362</v>
      </c>
      <c r="E844" t="s">
        <v>1340</v>
      </c>
      <c r="F844" t="s">
        <v>299</v>
      </c>
      <c r="G844">
        <v>20</v>
      </c>
      <c r="H844">
        <v>8</v>
      </c>
      <c r="I844">
        <v>2</v>
      </c>
      <c r="J844">
        <v>16</v>
      </c>
      <c r="K844">
        <v>10</v>
      </c>
      <c r="L844">
        <v>17</v>
      </c>
      <c r="M844">
        <v>24</v>
      </c>
      <c r="N844" t="s">
        <v>1138</v>
      </c>
      <c r="O844" t="s">
        <v>1317</v>
      </c>
      <c r="P844" t="s">
        <v>228</v>
      </c>
      <c r="Q844" t="s">
        <v>295</v>
      </c>
      <c r="R844" t="s">
        <v>1318</v>
      </c>
      <c r="S844">
        <v>62</v>
      </c>
      <c r="T844">
        <v>90</v>
      </c>
      <c r="U844">
        <f t="shared" si="55"/>
        <v>-7.17265924212741</v>
      </c>
      <c r="V844">
        <f t="shared" si="56"/>
        <v>-862.720620895767</v>
      </c>
      <c r="W844">
        <f t="shared" si="57"/>
        <v>-7172.65924212741</v>
      </c>
      <c r="X844">
        <f t="shared" si="54"/>
        <v>-2.94443897916644</v>
      </c>
      <c r="Y844">
        <v>20</v>
      </c>
    </row>
    <row r="845" spans="1:25">
      <c r="A845" s="1">
        <v>933</v>
      </c>
      <c r="B845" t="s">
        <v>1323</v>
      </c>
      <c r="C845" t="s">
        <v>1363</v>
      </c>
      <c r="D845" t="s">
        <v>1364</v>
      </c>
      <c r="E845" t="s">
        <v>1329</v>
      </c>
      <c r="F845" t="s">
        <v>299</v>
      </c>
      <c r="G845">
        <v>20</v>
      </c>
      <c r="H845">
        <v>8</v>
      </c>
      <c r="I845">
        <v>2</v>
      </c>
      <c r="J845">
        <v>16</v>
      </c>
      <c r="K845">
        <v>10</v>
      </c>
      <c r="L845">
        <v>17</v>
      </c>
      <c r="M845">
        <v>24</v>
      </c>
      <c r="N845" t="s">
        <v>1138</v>
      </c>
      <c r="O845" t="s">
        <v>1317</v>
      </c>
      <c r="P845" t="s">
        <v>228</v>
      </c>
      <c r="Q845" t="s">
        <v>295</v>
      </c>
      <c r="R845" t="s">
        <v>1318</v>
      </c>
      <c r="S845">
        <v>84</v>
      </c>
      <c r="T845">
        <v>88</v>
      </c>
      <c r="U845">
        <f t="shared" si="55"/>
        <v>-6.70274552564081</v>
      </c>
      <c r="V845">
        <f t="shared" si="56"/>
        <v>-806.199846721291</v>
      </c>
      <c r="W845">
        <f t="shared" si="57"/>
        <v>-6702.74552564081</v>
      </c>
      <c r="X845">
        <f t="shared" si="54"/>
        <v>-2.75153531304195</v>
      </c>
      <c r="Y845">
        <v>20</v>
      </c>
    </row>
    <row r="846" spans="1:25">
      <c r="A846" s="1">
        <v>934</v>
      </c>
      <c r="B846" t="s">
        <v>1323</v>
      </c>
      <c r="C846" t="s">
        <v>1365</v>
      </c>
      <c r="D846" t="s">
        <v>1366</v>
      </c>
      <c r="E846" t="s">
        <v>1329</v>
      </c>
      <c r="F846" t="s">
        <v>299</v>
      </c>
      <c r="G846">
        <v>20</v>
      </c>
      <c r="H846">
        <v>8</v>
      </c>
      <c r="I846">
        <v>2</v>
      </c>
      <c r="J846">
        <v>16</v>
      </c>
      <c r="K846">
        <v>10</v>
      </c>
      <c r="L846">
        <v>17</v>
      </c>
      <c r="M846">
        <v>24</v>
      </c>
      <c r="N846" t="s">
        <v>1138</v>
      </c>
      <c r="O846" t="s">
        <v>1317</v>
      </c>
      <c r="P846" t="s">
        <v>228</v>
      </c>
      <c r="Q846" t="s">
        <v>295</v>
      </c>
      <c r="R846" t="s">
        <v>1318</v>
      </c>
      <c r="S846">
        <v>64</v>
      </c>
      <c r="T846">
        <v>99</v>
      </c>
      <c r="U846">
        <f t="shared" si="55"/>
        <v>-12.8945011396385</v>
      </c>
      <c r="V846">
        <f t="shared" si="56"/>
        <v>-1550.93831364428</v>
      </c>
      <c r="W846">
        <f t="shared" si="57"/>
        <v>-12894.5011396385</v>
      </c>
      <c r="X846">
        <f t="shared" si="54"/>
        <v>-5.29330482472449</v>
      </c>
      <c r="Y846">
        <v>20</v>
      </c>
    </row>
    <row r="847" spans="1:25">
      <c r="A847" s="1">
        <v>935</v>
      </c>
      <c r="B847" t="s">
        <v>1323</v>
      </c>
      <c r="C847" t="s">
        <v>1367</v>
      </c>
      <c r="D847" t="s">
        <v>1368</v>
      </c>
      <c r="E847" t="s">
        <v>1329</v>
      </c>
      <c r="F847" t="s">
        <v>299</v>
      </c>
      <c r="G847">
        <v>20</v>
      </c>
      <c r="H847">
        <v>8</v>
      </c>
      <c r="I847">
        <v>2</v>
      </c>
      <c r="J847">
        <v>16</v>
      </c>
      <c r="K847">
        <v>10</v>
      </c>
      <c r="L847">
        <v>17</v>
      </c>
      <c r="M847">
        <v>24</v>
      </c>
      <c r="N847" t="s">
        <v>1138</v>
      </c>
      <c r="O847" t="s">
        <v>1317</v>
      </c>
      <c r="P847" t="s">
        <v>228</v>
      </c>
      <c r="Q847" t="s">
        <v>295</v>
      </c>
      <c r="R847" t="s">
        <v>1318</v>
      </c>
      <c r="S847">
        <v>65</v>
      </c>
      <c r="T847">
        <v>99</v>
      </c>
      <c r="U847">
        <f t="shared" si="55"/>
        <v>-12.8945011396385</v>
      </c>
      <c r="V847">
        <f t="shared" si="56"/>
        <v>-1550.93831364428</v>
      </c>
      <c r="W847">
        <f t="shared" si="57"/>
        <v>-12894.5011396385</v>
      </c>
      <c r="X847">
        <f t="shared" si="54"/>
        <v>-5.29330482472449</v>
      </c>
      <c r="Y847">
        <v>20</v>
      </c>
    </row>
    <row r="848" spans="1:25">
      <c r="A848" s="1">
        <v>936</v>
      </c>
      <c r="B848" t="s">
        <v>1323</v>
      </c>
      <c r="C848" t="s">
        <v>1369</v>
      </c>
      <c r="D848" t="s">
        <v>1370</v>
      </c>
      <c r="E848" t="s">
        <v>1329</v>
      </c>
      <c r="F848" t="s">
        <v>299</v>
      </c>
      <c r="G848">
        <v>20</v>
      </c>
      <c r="H848">
        <v>8</v>
      </c>
      <c r="I848">
        <v>2</v>
      </c>
      <c r="J848">
        <v>16</v>
      </c>
      <c r="K848">
        <v>10</v>
      </c>
      <c r="L848">
        <v>17</v>
      </c>
      <c r="M848">
        <v>24</v>
      </c>
      <c r="N848" t="s">
        <v>1138</v>
      </c>
      <c r="O848" t="s">
        <v>1317</v>
      </c>
      <c r="P848" t="s">
        <v>228</v>
      </c>
      <c r="Q848" t="s">
        <v>295</v>
      </c>
      <c r="R848" t="s">
        <v>1318</v>
      </c>
      <c r="S848">
        <v>71</v>
      </c>
      <c r="T848">
        <v>99</v>
      </c>
      <c r="U848">
        <f t="shared" si="55"/>
        <v>-12.8945011396385</v>
      </c>
      <c r="V848">
        <f t="shared" si="56"/>
        <v>-1550.93831364428</v>
      </c>
      <c r="W848">
        <f t="shared" si="57"/>
        <v>-12894.5011396385</v>
      </c>
      <c r="X848">
        <f t="shared" si="54"/>
        <v>-5.29330482472449</v>
      </c>
      <c r="Y848">
        <v>20</v>
      </c>
    </row>
    <row r="849" spans="1:25">
      <c r="A849" s="1">
        <v>937</v>
      </c>
      <c r="B849" t="s">
        <v>1323</v>
      </c>
      <c r="C849" t="s">
        <v>1371</v>
      </c>
      <c r="D849" t="s">
        <v>1372</v>
      </c>
      <c r="E849" t="s">
        <v>1329</v>
      </c>
      <c r="F849" t="s">
        <v>299</v>
      </c>
      <c r="G849">
        <v>20</v>
      </c>
      <c r="H849">
        <v>8</v>
      </c>
      <c r="I849">
        <v>2</v>
      </c>
      <c r="J849">
        <v>16</v>
      </c>
      <c r="K849">
        <v>10</v>
      </c>
      <c r="L849">
        <v>17</v>
      </c>
      <c r="M849">
        <v>24</v>
      </c>
      <c r="N849" t="s">
        <v>1138</v>
      </c>
      <c r="O849" t="s">
        <v>1317</v>
      </c>
      <c r="P849" t="s">
        <v>228</v>
      </c>
      <c r="Q849" t="s">
        <v>295</v>
      </c>
      <c r="R849" t="s">
        <v>1318</v>
      </c>
      <c r="S849">
        <v>55</v>
      </c>
      <c r="T849">
        <v>99</v>
      </c>
      <c r="U849">
        <f t="shared" si="55"/>
        <v>-12.8945011396385</v>
      </c>
      <c r="V849">
        <f t="shared" si="56"/>
        <v>-1550.93831364428</v>
      </c>
      <c r="W849">
        <f t="shared" si="57"/>
        <v>-12894.5011396385</v>
      </c>
      <c r="X849">
        <f t="shared" si="54"/>
        <v>-5.29330482472449</v>
      </c>
      <c r="Y849">
        <v>20</v>
      </c>
    </row>
    <row r="850" spans="1:25">
      <c r="A850" s="1">
        <v>938</v>
      </c>
      <c r="B850" t="s">
        <v>1313</v>
      </c>
      <c r="C850" t="s">
        <v>1323</v>
      </c>
      <c r="D850" t="s">
        <v>1373</v>
      </c>
      <c r="E850" t="s">
        <v>809</v>
      </c>
      <c r="F850" t="s">
        <v>299</v>
      </c>
      <c r="G850">
        <v>20</v>
      </c>
      <c r="H850">
        <v>8</v>
      </c>
      <c r="I850">
        <v>2</v>
      </c>
      <c r="J850">
        <v>16</v>
      </c>
      <c r="K850">
        <v>10</v>
      </c>
      <c r="L850">
        <v>17</v>
      </c>
      <c r="M850">
        <v>24</v>
      </c>
      <c r="N850" t="s">
        <v>1138</v>
      </c>
      <c r="O850" t="s">
        <v>1317</v>
      </c>
      <c r="P850" t="s">
        <v>228</v>
      </c>
      <c r="Q850" t="s">
        <v>295</v>
      </c>
      <c r="R850" t="s">
        <v>1318</v>
      </c>
      <c r="S850">
        <v>74</v>
      </c>
      <c r="T850">
        <v>94</v>
      </c>
      <c r="U850">
        <f t="shared" si="55"/>
        <v>-8.46778336063611</v>
      </c>
      <c r="V850">
        <f t="shared" si="56"/>
        <v>-1018.49691612174</v>
      </c>
      <c r="W850">
        <f t="shared" si="57"/>
        <v>-8467.78336063611</v>
      </c>
      <c r="X850">
        <f t="shared" si="54"/>
        <v>-3.47609868983527</v>
      </c>
      <c r="Y850">
        <v>20</v>
      </c>
    </row>
    <row r="851" spans="1:25">
      <c r="A851" s="1">
        <v>939</v>
      </c>
      <c r="B851" t="s">
        <v>1313</v>
      </c>
      <c r="C851" t="s">
        <v>1374</v>
      </c>
      <c r="D851" t="s">
        <v>1373</v>
      </c>
      <c r="E851" t="s">
        <v>1375</v>
      </c>
      <c r="F851" t="s">
        <v>299</v>
      </c>
      <c r="G851">
        <v>20</v>
      </c>
      <c r="H851">
        <v>8</v>
      </c>
      <c r="I851">
        <v>2</v>
      </c>
      <c r="J851">
        <v>16</v>
      </c>
      <c r="K851">
        <v>10</v>
      </c>
      <c r="L851">
        <v>17</v>
      </c>
      <c r="M851">
        <v>24</v>
      </c>
      <c r="N851" t="s">
        <v>1138</v>
      </c>
      <c r="O851" t="s">
        <v>1317</v>
      </c>
      <c r="P851" t="s">
        <v>228</v>
      </c>
      <c r="Q851" t="s">
        <v>295</v>
      </c>
      <c r="R851" t="s">
        <v>1318</v>
      </c>
      <c r="S851">
        <v>66</v>
      </c>
      <c r="T851">
        <v>94</v>
      </c>
      <c r="U851">
        <f t="shared" si="55"/>
        <v>-8.46778336063611</v>
      </c>
      <c r="V851">
        <f t="shared" si="56"/>
        <v>-1018.49691612174</v>
      </c>
      <c r="W851">
        <f t="shared" si="57"/>
        <v>-8467.78336063611</v>
      </c>
      <c r="X851">
        <f t="shared" si="54"/>
        <v>-3.47609868983527</v>
      </c>
      <c r="Y851">
        <v>20</v>
      </c>
    </row>
    <row r="852" spans="1:25">
      <c r="A852" s="1">
        <v>940</v>
      </c>
      <c r="B852" t="s">
        <v>1313</v>
      </c>
      <c r="C852" t="s">
        <v>1376</v>
      </c>
      <c r="D852" t="s">
        <v>1373</v>
      </c>
      <c r="E852" t="s">
        <v>1377</v>
      </c>
      <c r="F852" t="s">
        <v>299</v>
      </c>
      <c r="G852">
        <v>20</v>
      </c>
      <c r="H852">
        <v>8</v>
      </c>
      <c r="I852">
        <v>2</v>
      </c>
      <c r="J852">
        <v>16</v>
      </c>
      <c r="K852">
        <v>10</v>
      </c>
      <c r="L852">
        <v>17</v>
      </c>
      <c r="M852">
        <v>24</v>
      </c>
      <c r="N852" t="s">
        <v>1138</v>
      </c>
      <c r="O852" t="s">
        <v>1317</v>
      </c>
      <c r="P852" t="s">
        <v>228</v>
      </c>
      <c r="Q852" t="s">
        <v>295</v>
      </c>
      <c r="R852" t="s">
        <v>1318</v>
      </c>
      <c r="S852">
        <v>73</v>
      </c>
      <c r="T852">
        <v>94</v>
      </c>
      <c r="U852">
        <f t="shared" si="55"/>
        <v>-8.46778336063611</v>
      </c>
      <c r="V852">
        <f t="shared" si="56"/>
        <v>-1018.49691612174</v>
      </c>
      <c r="W852">
        <f t="shared" si="57"/>
        <v>-8467.78336063611</v>
      </c>
      <c r="X852">
        <f t="shared" si="54"/>
        <v>-3.47609868983527</v>
      </c>
      <c r="Y852">
        <v>20</v>
      </c>
    </row>
    <row r="853" spans="1:25">
      <c r="A853" s="1">
        <v>941</v>
      </c>
      <c r="B853" t="s">
        <v>1313</v>
      </c>
      <c r="C853" t="s">
        <v>1378</v>
      </c>
      <c r="D853" t="s">
        <v>1373</v>
      </c>
      <c r="E853" t="s">
        <v>1379</v>
      </c>
      <c r="F853" t="s">
        <v>299</v>
      </c>
      <c r="G853">
        <v>20</v>
      </c>
      <c r="H853">
        <v>8</v>
      </c>
      <c r="I853">
        <v>2</v>
      </c>
      <c r="J853">
        <v>16</v>
      </c>
      <c r="K853">
        <v>10</v>
      </c>
      <c r="L853">
        <v>17</v>
      </c>
      <c r="M853">
        <v>24</v>
      </c>
      <c r="N853" t="s">
        <v>1138</v>
      </c>
      <c r="O853" t="s">
        <v>1317</v>
      </c>
      <c r="P853" t="s">
        <v>228</v>
      </c>
      <c r="Q853" t="s">
        <v>295</v>
      </c>
      <c r="R853" t="s">
        <v>1318</v>
      </c>
      <c r="S853">
        <v>58</v>
      </c>
      <c r="T853">
        <v>87</v>
      </c>
      <c r="U853">
        <f t="shared" si="55"/>
        <v>-6.49476928819999</v>
      </c>
      <c r="V853">
        <f t="shared" si="56"/>
        <v>-781.184663002164</v>
      </c>
      <c r="W853">
        <f t="shared" si="57"/>
        <v>-6494.76928819999</v>
      </c>
      <c r="X853">
        <f t="shared" si="54"/>
        <v>-2.66615925939305</v>
      </c>
      <c r="Y853">
        <v>20</v>
      </c>
    </row>
    <row r="854" spans="1:25">
      <c r="A854" s="1">
        <v>942</v>
      </c>
      <c r="B854" t="s">
        <v>1313</v>
      </c>
      <c r="C854" t="s">
        <v>1380</v>
      </c>
      <c r="D854" t="s">
        <v>1373</v>
      </c>
      <c r="E854" t="s">
        <v>1381</v>
      </c>
      <c r="F854" t="s">
        <v>299</v>
      </c>
      <c r="G854">
        <v>20</v>
      </c>
      <c r="H854">
        <v>8</v>
      </c>
      <c r="I854">
        <v>2</v>
      </c>
      <c r="J854">
        <v>16</v>
      </c>
      <c r="K854">
        <v>10</v>
      </c>
      <c r="L854">
        <v>17</v>
      </c>
      <c r="M854">
        <v>24</v>
      </c>
      <c r="N854" t="s">
        <v>1138</v>
      </c>
      <c r="O854" t="s">
        <v>1317</v>
      </c>
      <c r="P854" t="s">
        <v>228</v>
      </c>
      <c r="Q854" t="s">
        <v>295</v>
      </c>
      <c r="R854" t="s">
        <v>1318</v>
      </c>
      <c r="S854">
        <v>65</v>
      </c>
      <c r="T854">
        <v>83</v>
      </c>
      <c r="U854">
        <f t="shared" si="55"/>
        <v>-5.78860531474638</v>
      </c>
      <c r="V854">
        <f t="shared" si="56"/>
        <v>-696.247932974065</v>
      </c>
      <c r="W854">
        <f t="shared" si="57"/>
        <v>-5788.60531474638</v>
      </c>
      <c r="X854">
        <f t="shared" si="54"/>
        <v>-2.37627280878521</v>
      </c>
      <c r="Y854">
        <v>20</v>
      </c>
    </row>
    <row r="855" spans="1:25">
      <c r="A855" s="1">
        <v>943</v>
      </c>
      <c r="B855" t="s">
        <v>1313</v>
      </c>
      <c r="C855" t="s">
        <v>1382</v>
      </c>
      <c r="D855" t="s">
        <v>1373</v>
      </c>
      <c r="E855" t="s">
        <v>1383</v>
      </c>
      <c r="F855" t="s">
        <v>299</v>
      </c>
      <c r="G855">
        <v>20</v>
      </c>
      <c r="H855">
        <v>8</v>
      </c>
      <c r="I855">
        <v>2</v>
      </c>
      <c r="J855">
        <v>16</v>
      </c>
      <c r="K855">
        <v>10</v>
      </c>
      <c r="L855">
        <v>17</v>
      </c>
      <c r="M855">
        <v>24</v>
      </c>
      <c r="N855" t="s">
        <v>1138</v>
      </c>
      <c r="O855" t="s">
        <v>1317</v>
      </c>
      <c r="P855" t="s">
        <v>228</v>
      </c>
      <c r="Q855" t="s">
        <v>295</v>
      </c>
      <c r="R855" t="s">
        <v>1318</v>
      </c>
      <c r="S855">
        <v>68</v>
      </c>
      <c r="T855">
        <v>97</v>
      </c>
      <c r="U855">
        <f t="shared" si="55"/>
        <v>-10.1936731171931</v>
      </c>
      <c r="V855">
        <f t="shared" si="56"/>
        <v>-1226.08529194047</v>
      </c>
      <c r="W855">
        <f t="shared" si="57"/>
        <v>-10193.6731171931</v>
      </c>
      <c r="X855">
        <f t="shared" si="54"/>
        <v>-4.18459144006988</v>
      </c>
      <c r="Y855">
        <v>20</v>
      </c>
    </row>
    <row r="856" spans="1:25">
      <c r="A856" s="1">
        <v>944</v>
      </c>
      <c r="B856" t="s">
        <v>1313</v>
      </c>
      <c r="C856" t="s">
        <v>1384</v>
      </c>
      <c r="D856" t="s">
        <v>1373</v>
      </c>
      <c r="E856" t="s">
        <v>1385</v>
      </c>
      <c r="F856" t="s">
        <v>299</v>
      </c>
      <c r="G856">
        <v>20</v>
      </c>
      <c r="H856">
        <v>8</v>
      </c>
      <c r="I856">
        <v>2</v>
      </c>
      <c r="J856">
        <v>16</v>
      </c>
      <c r="K856">
        <v>10</v>
      </c>
      <c r="L856">
        <v>17</v>
      </c>
      <c r="M856">
        <v>24</v>
      </c>
      <c r="N856" t="s">
        <v>1138</v>
      </c>
      <c r="O856" t="s">
        <v>1317</v>
      </c>
      <c r="P856" t="s">
        <v>228</v>
      </c>
      <c r="Q856" t="s">
        <v>295</v>
      </c>
      <c r="R856" t="s">
        <v>1318</v>
      </c>
      <c r="S856">
        <v>72</v>
      </c>
      <c r="T856">
        <v>97</v>
      </c>
      <c r="U856">
        <f t="shared" si="55"/>
        <v>-10.1936731171931</v>
      </c>
      <c r="V856">
        <f t="shared" si="56"/>
        <v>-1226.08529194047</v>
      </c>
      <c r="W856">
        <f t="shared" si="57"/>
        <v>-10193.6731171931</v>
      </c>
      <c r="X856">
        <f t="shared" si="54"/>
        <v>-4.18459144006988</v>
      </c>
      <c r="Y856">
        <v>20</v>
      </c>
    </row>
    <row r="857" spans="1:25">
      <c r="A857" s="1">
        <v>945</v>
      </c>
      <c r="B857" t="s">
        <v>1313</v>
      </c>
      <c r="C857" t="s">
        <v>1386</v>
      </c>
      <c r="D857" t="s">
        <v>1373</v>
      </c>
      <c r="E857" t="s">
        <v>1387</v>
      </c>
      <c r="F857" t="s">
        <v>299</v>
      </c>
      <c r="G857">
        <v>20</v>
      </c>
      <c r="H857">
        <v>8</v>
      </c>
      <c r="I857">
        <v>2</v>
      </c>
      <c r="J857">
        <v>16</v>
      </c>
      <c r="K857">
        <v>10</v>
      </c>
      <c r="L857">
        <v>17</v>
      </c>
      <c r="M857">
        <v>24</v>
      </c>
      <c r="N857" t="s">
        <v>1138</v>
      </c>
      <c r="O857" t="s">
        <v>1317</v>
      </c>
      <c r="P857" t="s">
        <v>228</v>
      </c>
      <c r="Q857" t="s">
        <v>295</v>
      </c>
      <c r="R857" t="s">
        <v>1318</v>
      </c>
      <c r="S857">
        <v>60</v>
      </c>
      <c r="T857">
        <v>96</v>
      </c>
      <c r="U857">
        <f t="shared" si="55"/>
        <v>-9.48048202983808</v>
      </c>
      <c r="V857">
        <f t="shared" si="56"/>
        <v>-1140.30334734641</v>
      </c>
      <c r="W857">
        <f t="shared" si="57"/>
        <v>-9480.48202983808</v>
      </c>
      <c r="X857">
        <f t="shared" si="54"/>
        <v>-3.89182029811063</v>
      </c>
      <c r="Y857">
        <v>20</v>
      </c>
    </row>
    <row r="858" spans="1:25">
      <c r="A858" s="1">
        <v>946</v>
      </c>
      <c r="B858" t="s">
        <v>1313</v>
      </c>
      <c r="C858" t="s">
        <v>1388</v>
      </c>
      <c r="D858" t="s">
        <v>1373</v>
      </c>
      <c r="E858" t="s">
        <v>1389</v>
      </c>
      <c r="F858" t="s">
        <v>299</v>
      </c>
      <c r="G858">
        <v>20</v>
      </c>
      <c r="H858">
        <v>8</v>
      </c>
      <c r="I858">
        <v>2</v>
      </c>
      <c r="J858">
        <v>16</v>
      </c>
      <c r="K858">
        <v>10</v>
      </c>
      <c r="L858">
        <v>17</v>
      </c>
      <c r="M858">
        <v>24</v>
      </c>
      <c r="N858" t="s">
        <v>1138</v>
      </c>
      <c r="O858" t="s">
        <v>1317</v>
      </c>
      <c r="P858" t="s">
        <v>228</v>
      </c>
      <c r="Q858" t="s">
        <v>295</v>
      </c>
      <c r="R858" t="s">
        <v>1318</v>
      </c>
      <c r="S858">
        <v>46</v>
      </c>
      <c r="T858">
        <v>97</v>
      </c>
      <c r="U858">
        <f t="shared" si="55"/>
        <v>-10.1936731171931</v>
      </c>
      <c r="V858">
        <f t="shared" si="56"/>
        <v>-1226.08529194047</v>
      </c>
      <c r="W858">
        <f t="shared" si="57"/>
        <v>-10193.6731171931</v>
      </c>
      <c r="X858">
        <f t="shared" si="54"/>
        <v>-4.18459144006988</v>
      </c>
      <c r="Y858">
        <v>20</v>
      </c>
    </row>
    <row r="859" spans="1:25">
      <c r="A859" s="1">
        <v>947</v>
      </c>
      <c r="B859" t="s">
        <v>1323</v>
      </c>
      <c r="C859" t="s">
        <v>1390</v>
      </c>
      <c r="D859" t="s">
        <v>1373</v>
      </c>
      <c r="E859" t="s">
        <v>1391</v>
      </c>
      <c r="F859" t="s">
        <v>299</v>
      </c>
      <c r="G859">
        <v>20</v>
      </c>
      <c r="H859">
        <v>8</v>
      </c>
      <c r="I859">
        <v>2</v>
      </c>
      <c r="J859">
        <v>16</v>
      </c>
      <c r="K859">
        <v>10</v>
      </c>
      <c r="L859">
        <v>17</v>
      </c>
      <c r="M859">
        <v>24</v>
      </c>
      <c r="N859" t="s">
        <v>1138</v>
      </c>
      <c r="O859" t="s">
        <v>1317</v>
      </c>
      <c r="P859" t="s">
        <v>228</v>
      </c>
      <c r="Q859" t="s">
        <v>295</v>
      </c>
      <c r="R859" t="s">
        <v>1318</v>
      </c>
      <c r="S859">
        <v>83</v>
      </c>
      <c r="T859">
        <v>96</v>
      </c>
      <c r="U859">
        <f t="shared" si="55"/>
        <v>-9.48048202983808</v>
      </c>
      <c r="V859">
        <f t="shared" si="56"/>
        <v>-1140.30334734641</v>
      </c>
      <c r="W859">
        <f t="shared" si="57"/>
        <v>-9480.48202983808</v>
      </c>
      <c r="X859">
        <f t="shared" si="54"/>
        <v>-3.89182029811063</v>
      </c>
      <c r="Y859">
        <v>20</v>
      </c>
    </row>
    <row r="860" spans="1:25">
      <c r="A860" s="1">
        <v>948</v>
      </c>
      <c r="B860" t="s">
        <v>1323</v>
      </c>
      <c r="C860" t="s">
        <v>1392</v>
      </c>
      <c r="D860" t="s">
        <v>1373</v>
      </c>
      <c r="E860" t="s">
        <v>1393</v>
      </c>
      <c r="F860" t="s">
        <v>299</v>
      </c>
      <c r="G860">
        <v>20</v>
      </c>
      <c r="H860">
        <v>8</v>
      </c>
      <c r="I860">
        <v>2</v>
      </c>
      <c r="J860">
        <v>16</v>
      </c>
      <c r="K860">
        <v>10</v>
      </c>
      <c r="L860">
        <v>17</v>
      </c>
      <c r="M860">
        <v>24</v>
      </c>
      <c r="N860" t="s">
        <v>1138</v>
      </c>
      <c r="O860" t="s">
        <v>1317</v>
      </c>
      <c r="P860" t="s">
        <v>228</v>
      </c>
      <c r="Q860" t="s">
        <v>295</v>
      </c>
      <c r="R860" t="s">
        <v>1318</v>
      </c>
      <c r="S860">
        <v>49</v>
      </c>
      <c r="T860">
        <v>98</v>
      </c>
      <c r="U860">
        <f t="shared" si="55"/>
        <v>-11.1937211451676</v>
      </c>
      <c r="V860">
        <f t="shared" si="56"/>
        <v>-1346.37011608943</v>
      </c>
      <c r="W860">
        <f t="shared" si="57"/>
        <v>-11193.7211451676</v>
      </c>
      <c r="X860">
        <f t="shared" si="54"/>
        <v>-4.59511985013459</v>
      </c>
      <c r="Y860">
        <v>20</v>
      </c>
    </row>
    <row r="861" spans="1:25">
      <c r="A861" s="1">
        <v>949</v>
      </c>
      <c r="B861" t="s">
        <v>1323</v>
      </c>
      <c r="C861" t="s">
        <v>1394</v>
      </c>
      <c r="D861" t="s">
        <v>1373</v>
      </c>
      <c r="E861" t="s">
        <v>1395</v>
      </c>
      <c r="F861" t="s">
        <v>299</v>
      </c>
      <c r="G861">
        <v>20</v>
      </c>
      <c r="H861">
        <v>8</v>
      </c>
      <c r="I861">
        <v>2</v>
      </c>
      <c r="J861">
        <v>16</v>
      </c>
      <c r="K861">
        <v>10</v>
      </c>
      <c r="L861">
        <v>17</v>
      </c>
      <c r="M861">
        <v>24</v>
      </c>
      <c r="N861" t="s">
        <v>1138</v>
      </c>
      <c r="O861" t="s">
        <v>1317</v>
      </c>
      <c r="P861" t="s">
        <v>228</v>
      </c>
      <c r="Q861" t="s">
        <v>295</v>
      </c>
      <c r="R861" t="s">
        <v>1318</v>
      </c>
      <c r="S861">
        <v>83</v>
      </c>
      <c r="T861">
        <v>97</v>
      </c>
      <c r="U861">
        <f t="shared" si="55"/>
        <v>-10.1936731171931</v>
      </c>
      <c r="V861">
        <f t="shared" si="56"/>
        <v>-1226.08529194047</v>
      </c>
      <c r="W861">
        <f t="shared" si="57"/>
        <v>-10193.6731171931</v>
      </c>
      <c r="X861">
        <f t="shared" si="54"/>
        <v>-4.18459144006988</v>
      </c>
      <c r="Y861">
        <v>20</v>
      </c>
    </row>
    <row r="862" spans="1:25">
      <c r="A862" s="1">
        <v>950</v>
      </c>
      <c r="B862" t="s">
        <v>1323</v>
      </c>
      <c r="C862" t="s">
        <v>1396</v>
      </c>
      <c r="D862" t="s">
        <v>1373</v>
      </c>
      <c r="E862" t="s">
        <v>1397</v>
      </c>
      <c r="F862" t="s">
        <v>299</v>
      </c>
      <c r="G862">
        <v>20</v>
      </c>
      <c r="H862">
        <v>8</v>
      </c>
      <c r="I862">
        <v>2</v>
      </c>
      <c r="J862">
        <v>16</v>
      </c>
      <c r="K862">
        <v>10</v>
      </c>
      <c r="L862">
        <v>17</v>
      </c>
      <c r="M862">
        <v>24</v>
      </c>
      <c r="N862" t="s">
        <v>1138</v>
      </c>
      <c r="O862" t="s">
        <v>1317</v>
      </c>
      <c r="P862" t="s">
        <v>228</v>
      </c>
      <c r="Q862" t="s">
        <v>295</v>
      </c>
      <c r="R862" t="s">
        <v>1318</v>
      </c>
      <c r="S862">
        <v>80</v>
      </c>
      <c r="T862">
        <v>97</v>
      </c>
      <c r="U862">
        <f t="shared" si="55"/>
        <v>-10.1936731171931</v>
      </c>
      <c r="V862">
        <f t="shared" si="56"/>
        <v>-1226.08529194047</v>
      </c>
      <c r="W862">
        <f t="shared" si="57"/>
        <v>-10193.6731171931</v>
      </c>
      <c r="X862">
        <f t="shared" si="54"/>
        <v>-4.18459144006988</v>
      </c>
      <c r="Y862">
        <v>20</v>
      </c>
    </row>
    <row r="863" spans="1:25">
      <c r="A863" s="1">
        <v>951</v>
      </c>
      <c r="B863" t="s">
        <v>1323</v>
      </c>
      <c r="C863" t="s">
        <v>1398</v>
      </c>
      <c r="D863" t="s">
        <v>1373</v>
      </c>
      <c r="E863" t="s">
        <v>1399</v>
      </c>
      <c r="F863" t="s">
        <v>299</v>
      </c>
      <c r="G863">
        <v>20</v>
      </c>
      <c r="H863">
        <v>8</v>
      </c>
      <c r="I863">
        <v>2</v>
      </c>
      <c r="J863">
        <v>16</v>
      </c>
      <c r="K863">
        <v>10</v>
      </c>
      <c r="L863">
        <v>17</v>
      </c>
      <c r="M863">
        <v>24</v>
      </c>
      <c r="N863" t="s">
        <v>1138</v>
      </c>
      <c r="O863" t="s">
        <v>1317</v>
      </c>
      <c r="P863" t="s">
        <v>228</v>
      </c>
      <c r="Q863" t="s">
        <v>295</v>
      </c>
      <c r="R863" t="s">
        <v>1318</v>
      </c>
      <c r="S863">
        <v>71</v>
      </c>
      <c r="T863">
        <v>97</v>
      </c>
      <c r="U863">
        <f t="shared" si="55"/>
        <v>-10.1936731171931</v>
      </c>
      <c r="V863">
        <f t="shared" si="56"/>
        <v>-1226.08529194047</v>
      </c>
      <c r="W863">
        <f t="shared" si="57"/>
        <v>-10193.6731171931</v>
      </c>
      <c r="X863">
        <f t="shared" si="54"/>
        <v>-4.18459144006988</v>
      </c>
      <c r="Y863">
        <v>20</v>
      </c>
    </row>
    <row r="864" spans="1:25">
      <c r="A864" s="1">
        <v>952</v>
      </c>
      <c r="B864" t="s">
        <v>1323</v>
      </c>
      <c r="C864" t="s">
        <v>1400</v>
      </c>
      <c r="D864" t="s">
        <v>1373</v>
      </c>
      <c r="E864" t="s">
        <v>1401</v>
      </c>
      <c r="F864" t="s">
        <v>299</v>
      </c>
      <c r="G864">
        <v>20</v>
      </c>
      <c r="H864">
        <v>8</v>
      </c>
      <c r="I864">
        <v>2</v>
      </c>
      <c r="J864">
        <v>16</v>
      </c>
      <c r="K864">
        <v>10</v>
      </c>
      <c r="L864">
        <v>17</v>
      </c>
      <c r="M864">
        <v>24</v>
      </c>
      <c r="N864" t="s">
        <v>1138</v>
      </c>
      <c r="O864" t="s">
        <v>1317</v>
      </c>
      <c r="P864" t="s">
        <v>228</v>
      </c>
      <c r="Q864" t="s">
        <v>295</v>
      </c>
      <c r="R864" t="s">
        <v>1318</v>
      </c>
      <c r="S864">
        <v>68</v>
      </c>
      <c r="T864">
        <v>97</v>
      </c>
      <c r="U864">
        <f t="shared" si="55"/>
        <v>-10.1936731171931</v>
      </c>
      <c r="V864">
        <f t="shared" si="56"/>
        <v>-1226.08529194047</v>
      </c>
      <c r="W864">
        <f t="shared" si="57"/>
        <v>-10193.6731171931</v>
      </c>
      <c r="X864">
        <f t="shared" si="54"/>
        <v>-4.18459144006988</v>
      </c>
      <c r="Y864">
        <v>20</v>
      </c>
    </row>
    <row r="865" spans="1:25">
      <c r="A865" s="1">
        <v>953</v>
      </c>
      <c r="B865" t="s">
        <v>1313</v>
      </c>
      <c r="C865" t="s">
        <v>1402</v>
      </c>
      <c r="D865" t="s">
        <v>1356</v>
      </c>
      <c r="E865" t="s">
        <v>851</v>
      </c>
      <c r="F865" t="s">
        <v>299</v>
      </c>
      <c r="G865">
        <v>20</v>
      </c>
      <c r="H865">
        <v>8</v>
      </c>
      <c r="I865">
        <v>2</v>
      </c>
      <c r="J865">
        <v>17</v>
      </c>
      <c r="K865">
        <v>10</v>
      </c>
      <c r="L865">
        <v>17</v>
      </c>
      <c r="M865">
        <v>24</v>
      </c>
      <c r="N865" t="s">
        <v>1138</v>
      </c>
      <c r="O865" t="s">
        <v>1403</v>
      </c>
      <c r="P865" t="s">
        <v>228</v>
      </c>
      <c r="Q865" t="s">
        <v>295</v>
      </c>
      <c r="R865" t="s">
        <v>1318</v>
      </c>
      <c r="S865">
        <v>72</v>
      </c>
      <c r="T865">
        <v>90</v>
      </c>
      <c r="U865">
        <f t="shared" si="55"/>
        <v>-7.17265924212741</v>
      </c>
      <c r="V865">
        <f t="shared" si="56"/>
        <v>-862.720620895767</v>
      </c>
      <c r="W865">
        <f t="shared" si="57"/>
        <v>-7172.65924212741</v>
      </c>
      <c r="X865">
        <f t="shared" si="54"/>
        <v>-2.94443897916644</v>
      </c>
      <c r="Y865">
        <v>20</v>
      </c>
    </row>
    <row r="866" spans="1:25">
      <c r="A866" s="1">
        <v>954</v>
      </c>
      <c r="B866" t="s">
        <v>1404</v>
      </c>
      <c r="C866" t="s">
        <v>1402</v>
      </c>
      <c r="D866" t="s">
        <v>1356</v>
      </c>
      <c r="E866" t="s">
        <v>851</v>
      </c>
      <c r="F866" t="s">
        <v>299</v>
      </c>
      <c r="G866">
        <v>20</v>
      </c>
      <c r="H866">
        <v>8</v>
      </c>
      <c r="I866">
        <v>2</v>
      </c>
      <c r="J866">
        <v>17</v>
      </c>
      <c r="K866">
        <v>10</v>
      </c>
      <c r="L866">
        <v>17</v>
      </c>
      <c r="M866">
        <v>24</v>
      </c>
      <c r="N866" t="s">
        <v>1138</v>
      </c>
      <c r="O866" t="s">
        <v>1403</v>
      </c>
      <c r="P866" t="s">
        <v>228</v>
      </c>
      <c r="Q866" t="s">
        <v>295</v>
      </c>
      <c r="R866" t="s">
        <v>1318</v>
      </c>
      <c r="S866">
        <v>81</v>
      </c>
      <c r="T866">
        <v>91</v>
      </c>
      <c r="U866">
        <f t="shared" si="55"/>
        <v>-7.44210511042826</v>
      </c>
      <c r="V866">
        <f t="shared" si="56"/>
        <v>-895.12931325815</v>
      </c>
      <c r="W866">
        <f t="shared" si="57"/>
        <v>-7442.10511042826</v>
      </c>
      <c r="X866">
        <f t="shared" si="54"/>
        <v>-3.05504885071041</v>
      </c>
      <c r="Y866">
        <v>20</v>
      </c>
    </row>
    <row r="867" spans="1:25">
      <c r="A867" s="1">
        <v>955</v>
      </c>
      <c r="B867" t="s">
        <v>1405</v>
      </c>
      <c r="C867" t="s">
        <v>1402</v>
      </c>
      <c r="D867" t="s">
        <v>1356</v>
      </c>
      <c r="E867" t="s">
        <v>851</v>
      </c>
      <c r="F867" t="s">
        <v>299</v>
      </c>
      <c r="G867">
        <v>20</v>
      </c>
      <c r="H867">
        <v>8</v>
      </c>
      <c r="I867">
        <v>2</v>
      </c>
      <c r="J867">
        <v>17</v>
      </c>
      <c r="K867">
        <v>10</v>
      </c>
      <c r="L867">
        <v>17</v>
      </c>
      <c r="M867">
        <v>24</v>
      </c>
      <c r="N867" t="s">
        <v>1138</v>
      </c>
      <c r="O867" t="s">
        <v>1403</v>
      </c>
      <c r="P867" t="s">
        <v>228</v>
      </c>
      <c r="Q867" t="s">
        <v>295</v>
      </c>
      <c r="R867" t="s">
        <v>1318</v>
      </c>
      <c r="S867">
        <v>87</v>
      </c>
      <c r="T867">
        <v>81</v>
      </c>
      <c r="U867">
        <f t="shared" si="55"/>
        <v>-5.49088992303021</v>
      </c>
      <c r="V867">
        <f t="shared" si="56"/>
        <v>-660.43900926512</v>
      </c>
      <c r="W867">
        <f t="shared" si="57"/>
        <v>-5490.88992303021</v>
      </c>
      <c r="X867">
        <f t="shared" si="54"/>
        <v>-2.25405805209939</v>
      </c>
      <c r="Y867">
        <v>20</v>
      </c>
    </row>
    <row r="868" spans="1:25">
      <c r="A868" s="1">
        <v>956</v>
      </c>
      <c r="B868" t="s">
        <v>158</v>
      </c>
      <c r="C868" t="s">
        <v>1402</v>
      </c>
      <c r="D868" t="s">
        <v>1356</v>
      </c>
      <c r="E868" t="s">
        <v>851</v>
      </c>
      <c r="F868" t="s">
        <v>299</v>
      </c>
      <c r="G868">
        <v>20</v>
      </c>
      <c r="H868">
        <v>8</v>
      </c>
      <c r="I868">
        <v>2</v>
      </c>
      <c r="J868">
        <v>17</v>
      </c>
      <c r="K868">
        <v>10</v>
      </c>
      <c r="L868">
        <v>17</v>
      </c>
      <c r="M868">
        <v>24</v>
      </c>
      <c r="N868" t="s">
        <v>1138</v>
      </c>
      <c r="O868" t="s">
        <v>1403</v>
      </c>
      <c r="P868" t="s">
        <v>228</v>
      </c>
      <c r="Q868" t="s">
        <v>295</v>
      </c>
      <c r="R868" t="s">
        <v>1318</v>
      </c>
      <c r="S868">
        <v>46</v>
      </c>
      <c r="T868">
        <v>66</v>
      </c>
      <c r="U868">
        <f t="shared" si="55"/>
        <v>-3.8625911857261</v>
      </c>
      <c r="V868">
        <f t="shared" si="56"/>
        <v>-464.588788275932</v>
      </c>
      <c r="W868">
        <f t="shared" si="57"/>
        <v>-3862.5911857261</v>
      </c>
      <c r="X868">
        <f t="shared" si="54"/>
        <v>-1.58562726374038</v>
      </c>
      <c r="Y868">
        <v>20</v>
      </c>
    </row>
    <row r="869" spans="1:25">
      <c r="A869" s="1">
        <v>957</v>
      </c>
      <c r="B869" t="s">
        <v>1406</v>
      </c>
      <c r="C869" t="s">
        <v>1402</v>
      </c>
      <c r="D869" t="s">
        <v>1356</v>
      </c>
      <c r="E869" t="s">
        <v>851</v>
      </c>
      <c r="F869" t="s">
        <v>299</v>
      </c>
      <c r="G869">
        <v>20</v>
      </c>
      <c r="H869">
        <v>8</v>
      </c>
      <c r="I869">
        <v>2</v>
      </c>
      <c r="J869">
        <v>17</v>
      </c>
      <c r="K869">
        <v>10</v>
      </c>
      <c r="L869">
        <v>17</v>
      </c>
      <c r="M869">
        <v>24</v>
      </c>
      <c r="N869" t="s">
        <v>1138</v>
      </c>
      <c r="O869" t="s">
        <v>1403</v>
      </c>
      <c r="P869" t="s">
        <v>228</v>
      </c>
      <c r="Q869" t="s">
        <v>295</v>
      </c>
      <c r="R869" t="s">
        <v>1318</v>
      </c>
      <c r="S869">
        <v>72</v>
      </c>
      <c r="T869">
        <v>84</v>
      </c>
      <c r="U869">
        <f t="shared" si="55"/>
        <v>-5.94956226285345</v>
      </c>
      <c r="V869">
        <f t="shared" si="56"/>
        <v>-715.607681363177</v>
      </c>
      <c r="W869">
        <f t="shared" si="57"/>
        <v>-5949.56226285345</v>
      </c>
      <c r="X869">
        <f t="shared" si="54"/>
        <v>-2.4423470353692</v>
      </c>
      <c r="Y869">
        <v>20</v>
      </c>
    </row>
    <row r="870" spans="1:25">
      <c r="A870" s="1">
        <v>958</v>
      </c>
      <c r="B870" t="s">
        <v>1407</v>
      </c>
      <c r="C870" t="s">
        <v>1402</v>
      </c>
      <c r="D870" t="s">
        <v>1356</v>
      </c>
      <c r="E870" t="s">
        <v>851</v>
      </c>
      <c r="F870" t="s">
        <v>299</v>
      </c>
      <c r="G870">
        <v>20</v>
      </c>
      <c r="H870">
        <v>8</v>
      </c>
      <c r="I870">
        <v>2</v>
      </c>
      <c r="J870">
        <v>17</v>
      </c>
      <c r="K870">
        <v>10</v>
      </c>
      <c r="L870">
        <v>17</v>
      </c>
      <c r="M870">
        <v>24</v>
      </c>
      <c r="N870" t="s">
        <v>1138</v>
      </c>
      <c r="O870" t="s">
        <v>1403</v>
      </c>
      <c r="P870" t="s">
        <v>228</v>
      </c>
      <c r="Q870" t="s">
        <v>295</v>
      </c>
      <c r="R870" t="s">
        <v>1318</v>
      </c>
      <c r="S870">
        <v>65</v>
      </c>
      <c r="T870">
        <v>88</v>
      </c>
      <c r="U870">
        <f t="shared" si="55"/>
        <v>-6.70274552564081</v>
      </c>
      <c r="V870">
        <f t="shared" si="56"/>
        <v>-806.199846721291</v>
      </c>
      <c r="W870">
        <f t="shared" si="57"/>
        <v>-6702.74552564081</v>
      </c>
      <c r="X870">
        <f t="shared" si="54"/>
        <v>-2.75153531304195</v>
      </c>
      <c r="Y870">
        <v>20</v>
      </c>
    </row>
    <row r="871" spans="1:25">
      <c r="A871" s="1">
        <v>959</v>
      </c>
      <c r="B871" t="s">
        <v>1408</v>
      </c>
      <c r="C871" t="s">
        <v>1402</v>
      </c>
      <c r="D871" t="s">
        <v>1356</v>
      </c>
      <c r="E871" t="s">
        <v>851</v>
      </c>
      <c r="F871" t="s">
        <v>299</v>
      </c>
      <c r="G871">
        <v>20</v>
      </c>
      <c r="H871">
        <v>8</v>
      </c>
      <c r="I871">
        <v>2</v>
      </c>
      <c r="J871">
        <v>17</v>
      </c>
      <c r="K871">
        <v>10</v>
      </c>
      <c r="L871">
        <v>17</v>
      </c>
      <c r="M871">
        <v>24</v>
      </c>
      <c r="N871" t="s">
        <v>1138</v>
      </c>
      <c r="O871" t="s">
        <v>1403</v>
      </c>
      <c r="P871" t="s">
        <v>228</v>
      </c>
      <c r="Q871" t="s">
        <v>295</v>
      </c>
      <c r="R871" t="s">
        <v>1318</v>
      </c>
      <c r="S871">
        <v>61</v>
      </c>
      <c r="T871">
        <v>91</v>
      </c>
      <c r="U871">
        <f t="shared" si="55"/>
        <v>-7.44210511042826</v>
      </c>
      <c r="V871">
        <f t="shared" si="56"/>
        <v>-895.12931325815</v>
      </c>
      <c r="W871">
        <f t="shared" si="57"/>
        <v>-7442.10511042826</v>
      </c>
      <c r="X871">
        <f t="shared" si="54"/>
        <v>-3.05504885071041</v>
      </c>
      <c r="Y871">
        <v>20</v>
      </c>
    </row>
    <row r="872" spans="1:25">
      <c r="A872" s="1">
        <v>960</v>
      </c>
      <c r="B872" t="s">
        <v>1409</v>
      </c>
      <c r="C872" t="s">
        <v>1402</v>
      </c>
      <c r="D872" t="s">
        <v>1356</v>
      </c>
      <c r="E872" t="s">
        <v>851</v>
      </c>
      <c r="F872" t="s">
        <v>299</v>
      </c>
      <c r="G872">
        <v>20</v>
      </c>
      <c r="H872">
        <v>8</v>
      </c>
      <c r="I872">
        <v>2</v>
      </c>
      <c r="J872">
        <v>17</v>
      </c>
      <c r="K872">
        <v>10</v>
      </c>
      <c r="L872">
        <v>17</v>
      </c>
      <c r="M872">
        <v>24</v>
      </c>
      <c r="N872" t="s">
        <v>1138</v>
      </c>
      <c r="O872" t="s">
        <v>1403</v>
      </c>
      <c r="P872" t="s">
        <v>228</v>
      </c>
      <c r="Q872" t="s">
        <v>295</v>
      </c>
      <c r="R872" t="s">
        <v>1318</v>
      </c>
      <c r="S872">
        <v>74</v>
      </c>
      <c r="T872">
        <v>82</v>
      </c>
      <c r="U872">
        <f t="shared" si="55"/>
        <v>-5.63601931475388</v>
      </c>
      <c r="V872">
        <f t="shared" si="56"/>
        <v>-677.895034249925</v>
      </c>
      <c r="W872">
        <f t="shared" si="57"/>
        <v>-5636.01931475388</v>
      </c>
      <c r="X872">
        <f t="shared" si="54"/>
        <v>-2.31363492918063</v>
      </c>
      <c r="Y872">
        <v>20</v>
      </c>
    </row>
    <row r="873" spans="1:25">
      <c r="A873" s="1">
        <v>961</v>
      </c>
      <c r="B873" t="s">
        <v>1410</v>
      </c>
      <c r="C873" t="s">
        <v>1402</v>
      </c>
      <c r="D873" t="s">
        <v>1356</v>
      </c>
      <c r="E873" t="s">
        <v>851</v>
      </c>
      <c r="F873" t="s">
        <v>299</v>
      </c>
      <c r="G873">
        <v>20</v>
      </c>
      <c r="H873">
        <v>8</v>
      </c>
      <c r="I873">
        <v>2</v>
      </c>
      <c r="J873">
        <v>17</v>
      </c>
      <c r="K873">
        <v>10</v>
      </c>
      <c r="L873">
        <v>17</v>
      </c>
      <c r="M873">
        <v>24</v>
      </c>
      <c r="N873" t="s">
        <v>1138</v>
      </c>
      <c r="O873" t="s">
        <v>1403</v>
      </c>
      <c r="P873" t="s">
        <v>228</v>
      </c>
      <c r="Q873" t="s">
        <v>295</v>
      </c>
      <c r="R873" t="s">
        <v>1318</v>
      </c>
      <c r="S873">
        <v>79</v>
      </c>
      <c r="T873">
        <v>86</v>
      </c>
      <c r="U873">
        <f t="shared" si="55"/>
        <v>-6.30118041560128</v>
      </c>
      <c r="V873">
        <f t="shared" si="56"/>
        <v>-757.899977820697</v>
      </c>
      <c r="W873">
        <f t="shared" si="57"/>
        <v>-6301.18041560128</v>
      </c>
      <c r="X873">
        <f t="shared" ref="X873:X887" si="59">-LN((1+T873*0.01)/(1-T873*0.01))</f>
        <v>-2.58668934409794</v>
      </c>
      <c r="Y873">
        <v>20</v>
      </c>
    </row>
    <row r="874" spans="1:25">
      <c r="A874" s="1">
        <v>962</v>
      </c>
      <c r="B874" t="s">
        <v>1411</v>
      </c>
      <c r="C874" t="s">
        <v>1402</v>
      </c>
      <c r="D874" t="s">
        <v>1356</v>
      </c>
      <c r="E874" t="s">
        <v>851</v>
      </c>
      <c r="F874" t="s">
        <v>299</v>
      </c>
      <c r="G874">
        <v>20</v>
      </c>
      <c r="H874">
        <v>8</v>
      </c>
      <c r="I874">
        <v>2</v>
      </c>
      <c r="J874">
        <v>17</v>
      </c>
      <c r="K874">
        <v>10</v>
      </c>
      <c r="L874">
        <v>17</v>
      </c>
      <c r="M874">
        <v>24</v>
      </c>
      <c r="N874" t="s">
        <v>1138</v>
      </c>
      <c r="O874" t="s">
        <v>1403</v>
      </c>
      <c r="P874" t="s">
        <v>228</v>
      </c>
      <c r="Q874" t="s">
        <v>295</v>
      </c>
      <c r="R874" t="s">
        <v>1318</v>
      </c>
      <c r="S874">
        <v>77</v>
      </c>
      <c r="T874">
        <v>90</v>
      </c>
      <c r="U874">
        <f t="shared" si="55"/>
        <v>-7.17265924212741</v>
      </c>
      <c r="V874">
        <f t="shared" si="56"/>
        <v>-862.720620895767</v>
      </c>
      <c r="W874">
        <f t="shared" si="57"/>
        <v>-7172.65924212741</v>
      </c>
      <c r="X874">
        <f t="shared" si="59"/>
        <v>-2.94443897916644</v>
      </c>
      <c r="Y874">
        <v>20</v>
      </c>
    </row>
    <row r="875" spans="1:25">
      <c r="A875" s="1">
        <v>963</v>
      </c>
      <c r="B875" t="s">
        <v>1412</v>
      </c>
      <c r="C875" t="s">
        <v>1402</v>
      </c>
      <c r="D875" t="s">
        <v>1356</v>
      </c>
      <c r="E875" t="s">
        <v>851</v>
      </c>
      <c r="F875" t="s">
        <v>299</v>
      </c>
      <c r="G875">
        <v>20</v>
      </c>
      <c r="H875">
        <v>8</v>
      </c>
      <c r="I875">
        <v>2</v>
      </c>
      <c r="J875">
        <v>17</v>
      </c>
      <c r="K875">
        <v>10</v>
      </c>
      <c r="L875">
        <v>17</v>
      </c>
      <c r="M875">
        <v>24</v>
      </c>
      <c r="N875" t="s">
        <v>1138</v>
      </c>
      <c r="O875" t="s">
        <v>1403</v>
      </c>
      <c r="P875" t="s">
        <v>228</v>
      </c>
      <c r="Q875" t="s">
        <v>295</v>
      </c>
      <c r="R875" t="s">
        <v>1318</v>
      </c>
      <c r="S875">
        <v>22</v>
      </c>
      <c r="T875">
        <v>81</v>
      </c>
      <c r="U875">
        <f t="shared" si="55"/>
        <v>-5.49088992303021</v>
      </c>
      <c r="V875">
        <f t="shared" si="56"/>
        <v>-660.43900926512</v>
      </c>
      <c r="W875">
        <f t="shared" si="57"/>
        <v>-5490.88992303021</v>
      </c>
      <c r="X875">
        <f t="shared" si="59"/>
        <v>-2.25405805209939</v>
      </c>
      <c r="Y875">
        <v>20</v>
      </c>
    </row>
    <row r="876" spans="1:25">
      <c r="A876" s="1">
        <v>964</v>
      </c>
      <c r="B876" t="s">
        <v>1404</v>
      </c>
      <c r="C876" t="s">
        <v>1402</v>
      </c>
      <c r="D876" t="s">
        <v>1356</v>
      </c>
      <c r="E876" t="s">
        <v>851</v>
      </c>
      <c r="F876" t="s">
        <v>299</v>
      </c>
      <c r="G876">
        <v>20</v>
      </c>
      <c r="H876">
        <v>8</v>
      </c>
      <c r="I876">
        <v>2</v>
      </c>
      <c r="J876">
        <v>17</v>
      </c>
      <c r="K876">
        <v>10</v>
      </c>
      <c r="L876">
        <v>17</v>
      </c>
      <c r="M876">
        <v>24</v>
      </c>
      <c r="N876" t="s">
        <v>1138</v>
      </c>
      <c r="O876" t="s">
        <v>1403</v>
      </c>
      <c r="P876" t="s">
        <v>228</v>
      </c>
      <c r="Q876" t="s">
        <v>295</v>
      </c>
      <c r="R876" t="s">
        <v>1318</v>
      </c>
      <c r="S876">
        <v>82</v>
      </c>
      <c r="T876">
        <v>90</v>
      </c>
      <c r="U876">
        <f t="shared" si="55"/>
        <v>-7.17265924212741</v>
      </c>
      <c r="V876">
        <f t="shared" si="56"/>
        <v>-862.720620895767</v>
      </c>
      <c r="W876">
        <f t="shared" si="57"/>
        <v>-7172.65924212741</v>
      </c>
      <c r="X876">
        <f t="shared" si="59"/>
        <v>-2.94443897916644</v>
      </c>
      <c r="Y876">
        <v>20</v>
      </c>
    </row>
    <row r="877" spans="1:25">
      <c r="A877" s="1">
        <v>965</v>
      </c>
      <c r="B877" t="s">
        <v>1404</v>
      </c>
      <c r="C877" t="s">
        <v>1402</v>
      </c>
      <c r="D877" t="s">
        <v>1356</v>
      </c>
      <c r="E877" t="s">
        <v>851</v>
      </c>
      <c r="F877" t="s">
        <v>299</v>
      </c>
      <c r="G877">
        <v>20</v>
      </c>
      <c r="H877">
        <v>8</v>
      </c>
      <c r="I877">
        <v>2</v>
      </c>
      <c r="J877">
        <v>24</v>
      </c>
      <c r="K877">
        <v>10</v>
      </c>
      <c r="L877">
        <v>17</v>
      </c>
      <c r="M877">
        <v>24</v>
      </c>
      <c r="N877" t="s">
        <v>1138</v>
      </c>
      <c r="O877" t="s">
        <v>1413</v>
      </c>
      <c r="P877" t="s">
        <v>228</v>
      </c>
      <c r="Q877" t="s">
        <v>295</v>
      </c>
      <c r="R877" t="s">
        <v>1318</v>
      </c>
      <c r="S877">
        <v>68</v>
      </c>
      <c r="T877">
        <v>64</v>
      </c>
      <c r="U877">
        <f t="shared" si="55"/>
        <v>-3.69382551679564</v>
      </c>
      <c r="V877">
        <f t="shared" si="56"/>
        <v>-444.28981438485</v>
      </c>
      <c r="W877">
        <f t="shared" si="57"/>
        <v>-3693.82551679564</v>
      </c>
      <c r="X877">
        <f t="shared" si="59"/>
        <v>-1.51634748936809</v>
      </c>
      <c r="Y877">
        <v>20</v>
      </c>
    </row>
    <row r="878" spans="1:25">
      <c r="A878" s="1">
        <v>966</v>
      </c>
      <c r="B878" t="s">
        <v>1404</v>
      </c>
      <c r="C878" t="s">
        <v>1402</v>
      </c>
      <c r="D878" t="s">
        <v>1356</v>
      </c>
      <c r="E878" t="s">
        <v>851</v>
      </c>
      <c r="F878" t="s">
        <v>299</v>
      </c>
      <c r="G878">
        <v>20</v>
      </c>
      <c r="H878">
        <v>8</v>
      </c>
      <c r="I878">
        <v>2</v>
      </c>
      <c r="J878">
        <v>23</v>
      </c>
      <c r="K878">
        <v>10</v>
      </c>
      <c r="L878">
        <v>17</v>
      </c>
      <c r="M878">
        <v>24</v>
      </c>
      <c r="N878" t="s">
        <v>1138</v>
      </c>
      <c r="O878" t="s">
        <v>1414</v>
      </c>
      <c r="P878" t="s">
        <v>228</v>
      </c>
      <c r="Q878" t="s">
        <v>295</v>
      </c>
      <c r="R878" t="s">
        <v>1318</v>
      </c>
      <c r="S878">
        <v>90</v>
      </c>
      <c r="T878">
        <v>79</v>
      </c>
      <c r="U878">
        <f t="shared" si="55"/>
        <v>-5.22001945046056</v>
      </c>
      <c r="V878">
        <f t="shared" si="56"/>
        <v>-627.858966858378</v>
      </c>
      <c r="W878">
        <f t="shared" si="57"/>
        <v>-5220.01945046056</v>
      </c>
      <c r="X878">
        <f t="shared" si="59"/>
        <v>-2.14286336811733</v>
      </c>
      <c r="Y878">
        <v>20</v>
      </c>
    </row>
    <row r="879" spans="1:25">
      <c r="A879" s="1">
        <v>968</v>
      </c>
      <c r="B879" t="s">
        <v>1404</v>
      </c>
      <c r="C879" t="s">
        <v>1402</v>
      </c>
      <c r="D879" t="s">
        <v>1356</v>
      </c>
      <c r="E879" t="s">
        <v>851</v>
      </c>
      <c r="F879" t="s">
        <v>299</v>
      </c>
      <c r="G879">
        <v>20</v>
      </c>
      <c r="H879">
        <v>8</v>
      </c>
      <c r="I879">
        <v>2</v>
      </c>
      <c r="J879">
        <v>19</v>
      </c>
      <c r="K879">
        <v>10</v>
      </c>
      <c r="L879">
        <v>17</v>
      </c>
      <c r="M879">
        <v>24</v>
      </c>
      <c r="N879" t="s">
        <v>1138</v>
      </c>
      <c r="O879" t="s">
        <v>1415</v>
      </c>
      <c r="P879" t="s">
        <v>228</v>
      </c>
      <c r="Q879" t="s">
        <v>295</v>
      </c>
      <c r="R879" t="s">
        <v>1318</v>
      </c>
      <c r="S879">
        <v>89</v>
      </c>
      <c r="T879">
        <v>70</v>
      </c>
      <c r="U879">
        <f t="shared" si="55"/>
        <v>-4.22549164012754</v>
      </c>
      <c r="V879">
        <f t="shared" si="56"/>
        <v>-508.238109228715</v>
      </c>
      <c r="W879">
        <f t="shared" si="57"/>
        <v>-4225.49164012754</v>
      </c>
      <c r="X879">
        <f t="shared" si="59"/>
        <v>-1.73460105538811</v>
      </c>
      <c r="Y879">
        <v>20</v>
      </c>
    </row>
    <row r="880" spans="1:25">
      <c r="A880" s="1">
        <v>969</v>
      </c>
      <c r="B880" t="s">
        <v>1404</v>
      </c>
      <c r="C880" t="s">
        <v>1402</v>
      </c>
      <c r="D880" t="s">
        <v>1356</v>
      </c>
      <c r="E880" t="s">
        <v>851</v>
      </c>
      <c r="F880" t="s">
        <v>299</v>
      </c>
      <c r="G880">
        <v>20</v>
      </c>
      <c r="H880">
        <v>8</v>
      </c>
      <c r="I880">
        <v>2</v>
      </c>
      <c r="J880">
        <v>22</v>
      </c>
      <c r="K880">
        <v>10</v>
      </c>
      <c r="L880">
        <v>17</v>
      </c>
      <c r="M880">
        <v>24</v>
      </c>
      <c r="N880" t="s">
        <v>1138</v>
      </c>
      <c r="O880" t="s">
        <v>1416</v>
      </c>
      <c r="P880" t="s">
        <v>228</v>
      </c>
      <c r="Q880" t="s">
        <v>295</v>
      </c>
      <c r="R880" t="s">
        <v>1318</v>
      </c>
      <c r="S880">
        <v>40</v>
      </c>
      <c r="T880">
        <v>70</v>
      </c>
      <c r="U880">
        <f t="shared" si="55"/>
        <v>-4.22549164012754</v>
      </c>
      <c r="V880">
        <f t="shared" si="56"/>
        <v>-508.238109228715</v>
      </c>
      <c r="W880">
        <f t="shared" si="57"/>
        <v>-4225.49164012754</v>
      </c>
      <c r="X880">
        <f t="shared" si="59"/>
        <v>-1.73460105538811</v>
      </c>
      <c r="Y880">
        <v>20</v>
      </c>
    </row>
    <row r="881" spans="1:25">
      <c r="A881" s="1">
        <v>970</v>
      </c>
      <c r="B881" t="s">
        <v>1404</v>
      </c>
      <c r="C881" t="s">
        <v>1402</v>
      </c>
      <c r="D881" t="s">
        <v>1356</v>
      </c>
      <c r="E881" t="s">
        <v>851</v>
      </c>
      <c r="F881" t="s">
        <v>299</v>
      </c>
      <c r="G881">
        <v>20</v>
      </c>
      <c r="H881">
        <v>8</v>
      </c>
      <c r="I881">
        <v>2</v>
      </c>
      <c r="J881">
        <v>26</v>
      </c>
      <c r="K881">
        <v>10</v>
      </c>
      <c r="L881">
        <v>17</v>
      </c>
      <c r="M881">
        <v>24</v>
      </c>
      <c r="N881" t="s">
        <v>1138</v>
      </c>
      <c r="O881" t="s">
        <v>1417</v>
      </c>
      <c r="P881" t="s">
        <v>228</v>
      </c>
      <c r="Q881" t="s">
        <v>295</v>
      </c>
      <c r="R881" t="s">
        <v>1318</v>
      </c>
      <c r="S881">
        <v>89</v>
      </c>
      <c r="T881">
        <v>69</v>
      </c>
      <c r="U881">
        <f t="shared" si="55"/>
        <v>-4.13124383124981</v>
      </c>
      <c r="V881">
        <f t="shared" si="56"/>
        <v>-496.902072558313</v>
      </c>
      <c r="W881">
        <f t="shared" si="57"/>
        <v>-4131.24383124981</v>
      </c>
      <c r="X881">
        <f t="shared" si="59"/>
        <v>-1.69591151043793</v>
      </c>
      <c r="Y881">
        <v>20</v>
      </c>
    </row>
    <row r="882" spans="1:25">
      <c r="A882" s="1">
        <v>971</v>
      </c>
      <c r="B882" t="s">
        <v>1404</v>
      </c>
      <c r="C882" t="s">
        <v>1402</v>
      </c>
      <c r="D882" t="s">
        <v>1356</v>
      </c>
      <c r="E882" t="s">
        <v>851</v>
      </c>
      <c r="F882" t="s">
        <v>299</v>
      </c>
      <c r="G882">
        <v>20</v>
      </c>
      <c r="H882">
        <v>8</v>
      </c>
      <c r="I882">
        <v>2</v>
      </c>
      <c r="J882">
        <v>18</v>
      </c>
      <c r="K882">
        <v>10</v>
      </c>
      <c r="L882">
        <v>17</v>
      </c>
      <c r="M882">
        <v>24</v>
      </c>
      <c r="N882" t="s">
        <v>1138</v>
      </c>
      <c r="O882" t="s">
        <v>1418</v>
      </c>
      <c r="P882" t="s">
        <v>228</v>
      </c>
      <c r="Q882" t="s">
        <v>295</v>
      </c>
      <c r="R882" t="s">
        <v>1318</v>
      </c>
      <c r="S882">
        <v>81</v>
      </c>
      <c r="T882">
        <v>65</v>
      </c>
      <c r="U882">
        <f t="shared" si="55"/>
        <v>-3.77725839782843</v>
      </c>
      <c r="V882">
        <f t="shared" si="56"/>
        <v>-454.325041836472</v>
      </c>
      <c r="W882">
        <f t="shared" si="57"/>
        <v>-3777.25839782843</v>
      </c>
      <c r="X882">
        <f t="shared" si="59"/>
        <v>-1.55059741241117</v>
      </c>
      <c r="Y882">
        <v>20</v>
      </c>
    </row>
    <row r="883" spans="1:25">
      <c r="A883" s="1">
        <v>973</v>
      </c>
      <c r="B883" t="s">
        <v>1404</v>
      </c>
      <c r="C883" t="s">
        <v>1402</v>
      </c>
      <c r="D883" t="s">
        <v>1356</v>
      </c>
      <c r="E883" t="s">
        <v>851</v>
      </c>
      <c r="F883" t="s">
        <v>299</v>
      </c>
      <c r="G883">
        <v>20</v>
      </c>
      <c r="H883">
        <v>8</v>
      </c>
      <c r="I883">
        <v>43</v>
      </c>
      <c r="J883">
        <v>17</v>
      </c>
      <c r="K883">
        <v>10</v>
      </c>
      <c r="L883">
        <v>17</v>
      </c>
      <c r="M883">
        <v>24</v>
      </c>
      <c r="N883" t="s">
        <v>293</v>
      </c>
      <c r="O883" t="s">
        <v>1403</v>
      </c>
      <c r="P883" t="s">
        <v>228</v>
      </c>
      <c r="Q883" t="s">
        <v>295</v>
      </c>
      <c r="R883" t="s">
        <v>1318</v>
      </c>
      <c r="S883">
        <v>37</v>
      </c>
      <c r="T883">
        <v>82</v>
      </c>
      <c r="U883">
        <f t="shared" si="55"/>
        <v>-5.63601931475388</v>
      </c>
      <c r="V883">
        <f t="shared" si="56"/>
        <v>-677.895034249925</v>
      </c>
      <c r="W883">
        <f t="shared" si="57"/>
        <v>-5636.01931475388</v>
      </c>
      <c r="X883">
        <f t="shared" si="59"/>
        <v>-2.31363492918063</v>
      </c>
      <c r="Y883">
        <v>20</v>
      </c>
    </row>
    <row r="884" spans="1:25">
      <c r="A884" s="1">
        <v>974</v>
      </c>
      <c r="B884" t="s">
        <v>1404</v>
      </c>
      <c r="C884" t="s">
        <v>1402</v>
      </c>
      <c r="D884" t="s">
        <v>1356</v>
      </c>
      <c r="E884" t="s">
        <v>851</v>
      </c>
      <c r="F884" t="s">
        <v>299</v>
      </c>
      <c r="G884">
        <v>20</v>
      </c>
      <c r="H884">
        <v>8</v>
      </c>
      <c r="I884">
        <v>31</v>
      </c>
      <c r="J884">
        <v>17</v>
      </c>
      <c r="K884">
        <v>10</v>
      </c>
      <c r="L884">
        <v>17</v>
      </c>
      <c r="M884">
        <v>24</v>
      </c>
      <c r="N884" t="s">
        <v>394</v>
      </c>
      <c r="O884" t="s">
        <v>1403</v>
      </c>
      <c r="P884" t="s">
        <v>228</v>
      </c>
      <c r="Q884" t="s">
        <v>295</v>
      </c>
      <c r="R884" t="s">
        <v>1318</v>
      </c>
      <c r="S884">
        <v>61</v>
      </c>
      <c r="T884">
        <v>84</v>
      </c>
      <c r="U884">
        <f t="shared" si="55"/>
        <v>-5.94956226285345</v>
      </c>
      <c r="V884">
        <f t="shared" si="56"/>
        <v>-715.607681363177</v>
      </c>
      <c r="W884">
        <f t="shared" si="57"/>
        <v>-5949.56226285345</v>
      </c>
      <c r="X884">
        <f t="shared" si="59"/>
        <v>-2.4423470353692</v>
      </c>
      <c r="Y884">
        <v>20</v>
      </c>
    </row>
    <row r="885" spans="1:25">
      <c r="A885" s="1">
        <v>975</v>
      </c>
      <c r="B885" t="s">
        <v>1404</v>
      </c>
      <c r="C885" t="s">
        <v>1402</v>
      </c>
      <c r="D885" t="s">
        <v>1356</v>
      </c>
      <c r="E885" t="s">
        <v>851</v>
      </c>
      <c r="F885" t="s">
        <v>299</v>
      </c>
      <c r="G885">
        <v>20</v>
      </c>
      <c r="H885">
        <v>8</v>
      </c>
      <c r="I885">
        <v>63</v>
      </c>
      <c r="J885">
        <v>17</v>
      </c>
      <c r="K885">
        <v>10</v>
      </c>
      <c r="L885">
        <v>17</v>
      </c>
      <c r="M885">
        <v>24</v>
      </c>
      <c r="N885" t="s">
        <v>196</v>
      </c>
      <c r="O885" t="s">
        <v>1403</v>
      </c>
      <c r="P885" t="s">
        <v>228</v>
      </c>
      <c r="Q885" t="s">
        <v>295</v>
      </c>
      <c r="R885" t="s">
        <v>1318</v>
      </c>
      <c r="S885">
        <v>76</v>
      </c>
      <c r="T885">
        <v>87</v>
      </c>
      <c r="U885">
        <f t="shared" si="55"/>
        <v>-6.49476928819999</v>
      </c>
      <c r="V885">
        <f t="shared" si="56"/>
        <v>-781.184663002164</v>
      </c>
      <c r="W885">
        <f t="shared" si="57"/>
        <v>-6494.76928819999</v>
      </c>
      <c r="X885">
        <f t="shared" si="59"/>
        <v>-2.66615925939305</v>
      </c>
      <c r="Y885">
        <v>20</v>
      </c>
    </row>
    <row r="886" spans="1:25">
      <c r="A886" s="1">
        <v>977</v>
      </c>
      <c r="B886" t="s">
        <v>1404</v>
      </c>
      <c r="C886" t="s">
        <v>1402</v>
      </c>
      <c r="D886" t="s">
        <v>1356</v>
      </c>
      <c r="E886" t="s">
        <v>851</v>
      </c>
      <c r="F886" t="s">
        <v>299</v>
      </c>
      <c r="G886">
        <v>20</v>
      </c>
      <c r="H886">
        <v>8</v>
      </c>
      <c r="I886">
        <v>42</v>
      </c>
      <c r="J886">
        <v>17</v>
      </c>
      <c r="K886">
        <v>10</v>
      </c>
      <c r="L886">
        <v>17</v>
      </c>
      <c r="M886">
        <v>24</v>
      </c>
      <c r="N886" t="s">
        <v>395</v>
      </c>
      <c r="O886" t="s">
        <v>1403</v>
      </c>
      <c r="P886" t="s">
        <v>228</v>
      </c>
      <c r="Q886" t="s">
        <v>295</v>
      </c>
      <c r="R886" t="s">
        <v>1318</v>
      </c>
      <c r="S886">
        <v>66</v>
      </c>
      <c r="T886">
        <v>74</v>
      </c>
      <c r="U886">
        <f t="shared" si="55"/>
        <v>-4.63073934418378</v>
      </c>
      <c r="V886">
        <f t="shared" si="56"/>
        <v>-556.980917029563</v>
      </c>
      <c r="W886">
        <f t="shared" si="57"/>
        <v>-4630.73934418378</v>
      </c>
      <c r="X886">
        <f t="shared" si="59"/>
        <v>-1.90095876119305</v>
      </c>
      <c r="Y886">
        <v>20</v>
      </c>
    </row>
    <row r="887" spans="1:25">
      <c r="A887" s="1">
        <v>979</v>
      </c>
      <c r="B887" t="s">
        <v>1404</v>
      </c>
      <c r="C887" t="s">
        <v>1402</v>
      </c>
      <c r="D887" t="s">
        <v>1356</v>
      </c>
      <c r="E887" t="s">
        <v>851</v>
      </c>
      <c r="F887" t="s">
        <v>299</v>
      </c>
      <c r="G887">
        <v>20</v>
      </c>
      <c r="H887">
        <v>8</v>
      </c>
      <c r="I887">
        <v>45</v>
      </c>
      <c r="J887">
        <v>17</v>
      </c>
      <c r="K887">
        <v>10</v>
      </c>
      <c r="L887">
        <v>17</v>
      </c>
      <c r="M887">
        <v>24</v>
      </c>
      <c r="N887" t="s">
        <v>1136</v>
      </c>
      <c r="O887" t="s">
        <v>1403</v>
      </c>
      <c r="P887" t="s">
        <v>228</v>
      </c>
      <c r="Q887" t="s">
        <v>295</v>
      </c>
      <c r="R887" t="s">
        <v>1318</v>
      </c>
      <c r="S887">
        <v>21</v>
      </c>
      <c r="T887">
        <v>89</v>
      </c>
      <c r="U887">
        <f t="shared" si="55"/>
        <v>-6.92762853185194</v>
      </c>
      <c r="V887">
        <f t="shared" si="56"/>
        <v>-833.248560482553</v>
      </c>
      <c r="W887">
        <f t="shared" si="57"/>
        <v>-6927.62853185194</v>
      </c>
      <c r="X887">
        <f t="shared" si="59"/>
        <v>-2.84385174226127</v>
      </c>
      <c r="Y887">
        <v>20</v>
      </c>
    </row>
  </sheetData>
  <autoFilter ref="T1:U887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青山白浪</cp:lastModifiedBy>
  <dcterms:created xsi:type="dcterms:W3CDTF">2023-12-14T13:21:00Z</dcterms:created>
  <dcterms:modified xsi:type="dcterms:W3CDTF">2024-01-16T17:22:36Z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821497B043DE4C66B049533BF120571E_12</vt:lpwstr>
  </property>
  <property fmtid="{D5CDD505-2E9C-101B-9397-08002B2CF9AE}" pid="3" name="KSOProductBuildVer">
    <vt:lpwstr>2052-12.1.0.16120</vt:lpwstr>
  </property>
</Properties>
</file>